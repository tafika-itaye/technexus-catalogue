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atalogue" sheetId="2" state="visible" r:id="rId4"/>
    <sheet name="Removed" sheetId="3" state="visible" r:id="rId5"/>
    <sheet name="Site_Replacements" sheetId="4" state="visible" r:id="rId6"/>
    <sheet name="Icon_Search_Terms" sheetId="5" state="visible" r:id="rId7"/>
    <sheet name="Folder_Pla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<sst xmlns="http://schemas.openxmlformats.org/spreadsheetml/2006/main" count="624" uniqueCount="357">
  <si>
    <t xml:space="preserve">TechNexus — Pricing Model Assumptions</t>
  </si>
  <si>
    <t xml:space="preserve">Parameter</t>
  </si>
  <si>
    <t xml:space="preserve">Value</t>
  </si>
  <si>
    <t xml:space="preserve">Notes</t>
  </si>
  <si>
    <t xml:space="preserve">Air freight rate (USD/kg)</t>
  </si>
  <si>
    <t xml:space="preserve">Dubai -&gt; LLW standard air cargo (TJ)</t>
  </si>
  <si>
    <t xml:space="preserve">Markup (multiplier)</t>
  </si>
  <si>
    <t xml:space="preserve">35% margin on landed cost</t>
  </si>
  <si>
    <t xml:space="preserve">FX rate (MWK per USD)</t>
  </si>
  <si>
    <t xml:space="preserve">Per current catalogue.html (Mar 2026)</t>
  </si>
  <si>
    <t xml:space="preserve">VAT rate</t>
  </si>
  <si>
    <t xml:space="preserve">17.5% — for buyer info; not pre-loaded</t>
  </si>
  <si>
    <t xml:space="preserve">SKU</t>
  </si>
  <si>
    <t xml:space="preserve">Category</t>
  </si>
  <si>
    <t xml:space="preserve">Sub-category</t>
  </si>
  <si>
    <t xml:space="preserve">Product name</t>
  </si>
  <si>
    <t xml:space="preserve">Brand</t>
  </si>
  <si>
    <t xml:space="preserve">Supplier (Dubai)</t>
  </si>
  <si>
    <t xml:space="preserve">Cost USD</t>
  </si>
  <si>
    <t xml:space="preserve">Cost source</t>
  </si>
  <si>
    <t xml:space="preserve">Weight kg</t>
  </si>
  <si>
    <t xml:space="preserve">Freight USD</t>
  </si>
  <si>
    <t xml:space="preserve">Landed USD</t>
  </si>
  <si>
    <t xml:space="preserve">Final USD</t>
  </si>
  <si>
    <t xml:space="preserve">Final MWK</t>
  </si>
  <si>
    <t xml:space="preserve">Include on site?</t>
  </si>
  <si>
    <t xml:space="preserve">MT-CCR2116-12G-4S+</t>
  </si>
  <si>
    <t xml:space="preserve">Networking</t>
  </si>
  <si>
    <t xml:space="preserve">ISP Core Router</t>
  </si>
  <si>
    <t xml:space="preserve">Mikrotik CCR2116-12G-4S+ Cloud Core Router (16GB RAM, 13xGbE, 4xSFP+)</t>
  </si>
  <si>
    <t xml:space="preserve">Mikrotik</t>
  </si>
  <si>
    <t xml:space="preserve">Roshin Dubai Computer</t>
  </si>
  <si>
    <t xml:space="preserve">estimated</t>
  </si>
  <si>
    <t xml:space="preserve">Yes</t>
  </si>
  <si>
    <t xml:space="preserve">MT-CCR2216-1G-12XS-2XQ</t>
  </si>
  <si>
    <t xml:space="preserve">Mikrotik CCR2216-1G-12XS-2XQ Cloud Core Router (12xSFP28, 2xQSFP28)</t>
  </si>
  <si>
    <t xml:space="preserve">MT-CCR2004-16G-2S+</t>
  </si>
  <si>
    <t xml:space="preserve">ISP Edge Router</t>
  </si>
  <si>
    <t xml:space="preserve">Mikrotik CCR2004-16G-2S+ Cloud Core Router (16xGbE, 2xSFP+)</t>
  </si>
  <si>
    <t xml:space="preserve">MT-CCR2004-1G-12S+2XS</t>
  </si>
  <si>
    <t xml:space="preserve">ISP Aggregation Router</t>
  </si>
  <si>
    <t xml:space="preserve">Mikrotik CCR2004-1G-12S+2XS Cloud Core Router (12xSFP+, 2xSFP28) L6</t>
  </si>
  <si>
    <t xml:space="preserve">MT-RB5009UPR+S+IN</t>
  </si>
  <si>
    <t xml:space="preserve">Enterprise Router</t>
  </si>
  <si>
    <t xml:space="preserve">Mikrotik RB5009UPR+S+IN 7xGbE + 2.5G + SFP+ PoE-in Router</t>
  </si>
  <si>
    <t xml:space="preserve">MT-RB5009UG+S+IN</t>
  </si>
  <si>
    <t xml:space="preserve">Mikrotik RB5009UG+S+IN 7xGbE + 2.5G + SFP+ Router</t>
  </si>
  <si>
    <t xml:space="preserve">MT-RB4011iGS+RM</t>
  </si>
  <si>
    <t xml:space="preserve">Mikrotik RB4011iGS+RM Rackmount Router (10xGbE, 1xSFP+)</t>
  </si>
  <si>
    <t xml:space="preserve">MT-RB1100DX4</t>
  </si>
  <si>
    <t xml:space="preserve">Mikrotik RB1100AHx4 Dude Edition (RB1100DX4) 13xGbE Router</t>
  </si>
  <si>
    <t xml:space="preserve">MT-L009UIGS-RM</t>
  </si>
  <si>
    <t xml:space="preserve">Branch Router</t>
  </si>
  <si>
    <t xml:space="preserve">Mikrotik L009UiGS-RM 8xGbE + 2.5G + SFP Router (rackmount)</t>
  </si>
  <si>
    <t xml:space="preserve">MT-CRS354-48G-4S+2Q+RM</t>
  </si>
  <si>
    <t xml:space="preserve">Managed Switch</t>
  </si>
  <si>
    <t xml:space="preserve">Mikrotik CRS354-48G-4S+2Q+RM 48xGbE + 4xSFP+ + 2xQSFP+ Switch</t>
  </si>
  <si>
    <t xml:space="preserve">MT-CRS354-48P-4S+2Q+RM</t>
  </si>
  <si>
    <t xml:space="preserve">PoE Managed Switch</t>
  </si>
  <si>
    <t xml:space="preserve">Mikrotik CRS354-48P-4S+2Q+RM 48-port PoE Switch + 4xSFP+/2xQSFP+</t>
  </si>
  <si>
    <t xml:space="preserve">MT-CRS328-24P-4S+RM</t>
  </si>
  <si>
    <t xml:space="preserve">PoE Switch</t>
  </si>
  <si>
    <t xml:space="preserve">Mikrotik CRS328-24P-4S+RM 24-port Gigabit PoE + 4xSFP+ Switch</t>
  </si>
  <si>
    <t xml:space="preserve">MT-CRS326-24G-2S+RM</t>
  </si>
  <si>
    <t xml:space="preserve">Mikrotik CRS326-24G-2S+RM 24xGbE + 2xSFP+ Managed Switch</t>
  </si>
  <si>
    <t xml:space="preserve">MT-CRS326-24S+2Q+RM</t>
  </si>
  <si>
    <t xml:space="preserve">10G/40G Switch</t>
  </si>
  <si>
    <t xml:space="preserve">Mikrotik CRS326-24S+2Q+RM 24xSFP+ + 2xQSFP+ Switch</t>
  </si>
  <si>
    <t xml:space="preserve">MT-CRS318-16P-2S+OUT</t>
  </si>
  <si>
    <t xml:space="preserve">Outdoor PoE Switch</t>
  </si>
  <si>
    <t xml:space="preserve">Mikrotik CRS318-16P-2S+OUT NetPower 16-port Outdoor PoE Switch</t>
  </si>
  <si>
    <t xml:space="preserve">MT-CRS112-8P-4S-IN</t>
  </si>
  <si>
    <t xml:space="preserve">PoE Edge Switch</t>
  </si>
  <si>
    <t xml:space="preserve">Mikrotik CRS112-8P-4S-IN 8-port Gigabit PoE + 4xSFP Smart Switch</t>
  </si>
  <si>
    <t xml:space="preserve">MT-S+85DLC03D</t>
  </si>
  <si>
    <t xml:space="preserve">SFP+ Transceiver</t>
  </si>
  <si>
    <t xml:space="preserve">Mikrotik S+85DLC03D 10GBASE-SR SFP+ 850nm 300m Transceiver</t>
  </si>
  <si>
    <t xml:space="preserve">MT-S+RJ10</t>
  </si>
  <si>
    <t xml:space="preserve">SFP+ Copper Module</t>
  </si>
  <si>
    <t xml:space="preserve">Mikrotik S+RJ10 SFP+ 10G RJ45 Copper Module</t>
  </si>
  <si>
    <t xml:space="preserve">LEN-TP-E14-C5</t>
  </si>
  <si>
    <t xml:space="preserve">Laptops</t>
  </si>
  <si>
    <t xml:space="preserve">Business Laptop</t>
  </si>
  <si>
    <t xml:space="preserve">Lenovo ThinkPad E14 Core 5 210H 16GB/512GB 14" DOS (21T9006C1G)</t>
  </si>
  <si>
    <t xml:space="preserve">Lenovo</t>
  </si>
  <si>
    <t xml:space="preserve">given</t>
  </si>
  <si>
    <t xml:space="preserve">LEN-TP-E14-U7</t>
  </si>
  <si>
    <t xml:space="preserve">Lenovo ThinkPad E14 Ultra 7-155H 16GB/512GB 14" WUXGA DOS (21M700AXIG)</t>
  </si>
  <si>
    <t xml:space="preserve">LEN-TP-E16-R7</t>
  </si>
  <si>
    <t xml:space="preserve">Lenovo ThinkPad E16 AMD R7-7735HS 16GB/512GB 16" WUXGA IPS FPR BL DOS (21M5S09E00)</t>
  </si>
  <si>
    <t xml:space="preserve">HP-PB440-G11</t>
  </si>
  <si>
    <t xml:space="preserve">HP ProBook 440 G11 Ultra 5 125U 16GB/512GB 14" FHD FPR BL DOS (D3NU2AT)</t>
  </si>
  <si>
    <t xml:space="preserve">HP</t>
  </si>
  <si>
    <t xml:space="preserve">LEN-TC-NEO50S-I3</t>
  </si>
  <si>
    <t xml:space="preserve">Desktops</t>
  </si>
  <si>
    <t xml:space="preserve">SFF Desktop</t>
  </si>
  <si>
    <t xml:space="preserve">Lenovo ThinkCentre neo 50s SFF Gen4 i3-13100 4GB/256GB DOS (12JH004AGP)</t>
  </si>
  <si>
    <t xml:space="preserve">LEN-TC-NEO50T-I3</t>
  </si>
  <si>
    <t xml:space="preserve">Tower Desktop</t>
  </si>
  <si>
    <t xml:space="preserve">Lenovo ThinkCentre neo 50t Gen5 i3-14100 8GB/512GB DOS +KB/Mouse (12UD00C2GP)</t>
  </si>
  <si>
    <t xml:space="preserve">LEN-TC-NEO30S-I5</t>
  </si>
  <si>
    <t xml:space="preserve">Mini PC</t>
  </si>
  <si>
    <t xml:space="preserve">Lenovo ThinkCentre neo 30s Gen5 i5-13420H 8GB/512GB DOS (13DK002YGP)</t>
  </si>
  <si>
    <t xml:space="preserve">LEN-TC-NEO50T-I5</t>
  </si>
  <si>
    <t xml:space="preserve">Lenovo ThinkCentre neo 50t Gen5 i5-13400 8GB/512GB DOS</t>
  </si>
  <si>
    <t xml:space="preserve">LEN-TC-M70S-I5</t>
  </si>
  <si>
    <t xml:space="preserve">Lenovo ThinkCentre M70s SFF i5-14400 8GB/512GB DOS</t>
  </si>
  <si>
    <t xml:space="preserve">LEN-TC-M70T-I7</t>
  </si>
  <si>
    <t xml:space="preserve">Lenovo ThinkCentre M70t TWR i7-14700 8GB/512GB DOS</t>
  </si>
  <si>
    <t xml:space="preserve">HP-290-G9-I5</t>
  </si>
  <si>
    <t xml:space="preserve">HP 290 G9 Tower Core i5-14400 8GB/512GB No-DVD DOS (CT6Y5ET)</t>
  </si>
  <si>
    <t xml:space="preserve">HP-290-G9-I7</t>
  </si>
  <si>
    <t xml:space="preserve">HP 290 G9 Tower Core i7-14700 8GB/512GB DOS (CA7Y3AT#BH5)</t>
  </si>
  <si>
    <t xml:space="preserve">HP-400-SFF-I7</t>
  </si>
  <si>
    <t xml:space="preserve">HP Pro 400 G9 SFF i7-14700 8GB/512GB DOS 3yr (99Q64ET#BH5)</t>
  </si>
  <si>
    <t xml:space="preserve">HP-800-G9-SFF-I7</t>
  </si>
  <si>
    <t xml:space="preserve">HP EliteDesk 800 G9 SFF i7 14th-gen 16GB/512GB Win 11 Home</t>
  </si>
  <si>
    <t xml:space="preserve">DEL-7020-I3</t>
  </si>
  <si>
    <t xml:space="preserve">Dell OptiPlex 7020 i3-14th Gen 8GB/512GB DOS</t>
  </si>
  <si>
    <t xml:space="preserve">Dell</t>
  </si>
  <si>
    <t xml:space="preserve">DEL-QCT1250-I5</t>
  </si>
  <si>
    <t xml:space="preserve">Dell OptiPlex QCT1250 i5-14th Gen 8GB/512GB DOS</t>
  </si>
  <si>
    <t xml:space="preserve">DEL-MINI-U5</t>
  </si>
  <si>
    <t xml:space="preserve">Dell OptiPlex Mini Pro QCM1250 Ultra 5 235T 8GB/512GB BT/WiFi DOS</t>
  </si>
  <si>
    <t xml:space="preserve">Totals</t>
  </si>
  <si>
    <t xml:space="preserve">Items intentionally NOT on the curated list (and why)</t>
  </si>
  <si>
    <t xml:space="preserve">SKU / Item</t>
  </si>
  <si>
    <t xml:space="preserve">Reason excluded</t>
  </si>
  <si>
    <t xml:space="preserve">HP Victus 15-FA2082WM / 15-FA2021NIA</t>
  </si>
  <si>
    <t xml:space="preserve">Consumer gaming — off-brand for B2B catalogue</t>
  </si>
  <si>
    <t xml:space="preserve">Move to personal-buyer channel only</t>
  </si>
  <si>
    <t xml:space="preserve">HP Omen 16-AM0073</t>
  </si>
  <si>
    <t xml:space="preserve">Consumer gaming laptop</t>
  </si>
  <si>
    <t xml:space="preserve">Not aligned with ISP/enterprise positioning</t>
  </si>
  <si>
    <t xml:space="preserve">HP OmniBook 5 Flip 14-FP0023</t>
  </si>
  <si>
    <t xml:space="preserve">Consumer 2-in-1</t>
  </si>
  <si>
    <t xml:space="preserve">Not business-grade</t>
  </si>
  <si>
    <t xml:space="preserve">Lenovo YOGA 7i 2-in-1</t>
  </si>
  <si>
    <t xml:space="preserve">Consumer creator laptop</t>
  </si>
  <si>
    <t xml:space="preserve">HP 15-FC0146DX / FD0215DX / FC0057</t>
  </si>
  <si>
    <t xml:space="preserve">Consumer home laptops (AMD Ryzen R5/R7, touch)</t>
  </si>
  <si>
    <t xml:space="preserve">Sell only via direct enquiry</t>
  </si>
  <si>
    <t xml:space="preserve">Lenovo V15 / V14 G4 budget</t>
  </si>
  <si>
    <t xml:space="preserve">Entry-consumer; thin margins</t>
  </si>
  <si>
    <t xml:space="preserve">Keep as optional enquiry, not featured</t>
  </si>
  <si>
    <t xml:space="preserve">Mikrotik hAP ax lite / ax2 / ax3 (C52/C53/L41)</t>
  </si>
  <si>
    <t xml:space="preserve">SMB/home category — excluded by TJ's brief</t>
  </si>
  <si>
    <t xml:space="preserve">Roshin qty list heavy but out-of-scope</t>
  </si>
  <si>
    <t xml:space="preserve">Mikrotik hEX family (RB750Gr3, RB760iGS, E50UG, E60iUGS)</t>
  </si>
  <si>
    <t xml:space="preserve">SMB home router</t>
  </si>
  <si>
    <t xml:space="preserve">Ditto</t>
  </si>
  <si>
    <t xml:space="preserve">Mikrotik RB941 hAP lite / RB951 / RB952 hAP AC lite</t>
  </si>
  <si>
    <t xml:space="preserve">SOHO AP routers</t>
  </si>
  <si>
    <t xml:space="preserve">Mikrotik LHG / LHGG / QRT / mANTBox (RB911, RBSXTG, RBLHG)</t>
  </si>
  <si>
    <t xml:space="preserve">Wireless outdoor CPE — not in chosen scope</t>
  </si>
  <si>
    <t xml:space="preserve">Can be added if scope expands</t>
  </si>
  <si>
    <t xml:space="preserve">Mikrotik WAP ax / CAP ax / CAP AC (WAPG, CAPGI, RBCAPGI)</t>
  </si>
  <si>
    <t xml:space="preserve">Indoor wireless APs — not selected scope</t>
  </si>
  <si>
    <t xml:space="preserve">Mikrotik RB750UPR2 / RB960PGS / RB750R2</t>
  </si>
  <si>
    <t xml:space="preserve">SOHO small PoE routers</t>
  </si>
  <si>
    <t xml:space="preserve">Mikrotik RB911G-2HPND-12S mANTBox 2</t>
  </si>
  <si>
    <t xml:space="preserve">Wireless 2.4 GHz base station — scope out</t>
  </si>
  <si>
    <t xml:space="preserve">Recommended live-site changes (catalogue.html)</t>
  </si>
  <si>
    <t xml:space="preserve">Action</t>
  </si>
  <si>
    <t xml:space="preserve">Current on site</t>
  </si>
  <si>
    <t xml:space="preserve">Replace with (from Curated)</t>
  </si>
  <si>
    <t xml:space="preserve">Reason</t>
  </si>
  <si>
    <t xml:space="preserve">REPLACE</t>
  </si>
  <si>
    <t xml:space="preserve">HP ProBook 450 G10 — HP-PB450-G10</t>
  </si>
  <si>
    <t xml:space="preserve">HP ProBook 440 G11 — HP-PB440-G11</t>
  </si>
  <si>
    <t xml:space="preserve">Newer gen Ultra 5 platform</t>
  </si>
  <si>
    <t xml:space="preserve">Lenovo ThinkPad E15 Gen 4 — LEN-TPE15-G4</t>
  </si>
  <si>
    <t xml:space="preserve">Lenovo ThinkPad E14 Core 5 — LEN-TP-E14-C5</t>
  </si>
  <si>
    <t xml:space="preserve">E-series refresh; 14" is current SKU</t>
  </si>
  <si>
    <t xml:space="preserve">Dell Latitude 5540 — DELL-LAT5540</t>
  </si>
  <si>
    <t xml:space="preserve">Dell OptiPlex QCT1250 i5 — DEL-QCT1250-I5 (or keep Latitude only on enquiry)</t>
  </si>
  <si>
    <t xml:space="preserve">Supplier stock is on desktop line; Latitude not in ready stock</t>
  </si>
  <si>
    <t xml:space="preserve">HP EliteDesk 800 G9 Tower — HP-ED800-G9</t>
  </si>
  <si>
    <t xml:space="preserve">HP EliteDesk 800 G9 SFF i7 — HP-800-G9-SFF-I7</t>
  </si>
  <si>
    <t xml:space="preserve">Current ready stock is SFF i7 spec</t>
  </si>
  <si>
    <t xml:space="preserve">Dell OptiPlex 7010 Tower — DELL-OPT7010</t>
  </si>
  <si>
    <t xml:space="preserve">Dell OptiPlex 7020 i3 — DEL-7020-I3</t>
  </si>
  <si>
    <t xml:space="preserve">Newer 14th-gen on ready stock list</t>
  </si>
  <si>
    <t xml:space="preserve">Lenovo ThinkCentre M70t Gen 4 — LEN-M70T-G4</t>
  </si>
  <si>
    <t xml:space="preserve">Lenovo ThinkCentre M70t TWR i7 — LEN-TC-M70T-I7 (or M70s SFF i5 LEN-TC-M70S-I5)</t>
  </si>
  <si>
    <t xml:space="preserve">Current ready stock Gen5/14-gen</t>
  </si>
  <si>
    <t xml:space="preserve">ADD</t>
  </si>
  <si>
    <t xml:space="preserve">—</t>
  </si>
  <si>
    <t xml:space="preserve">All curated Mikrotik ISP lines (CCR2116, CCR2216, CCR2004, CRS354, CRS328, CRS326, CRS318, CRS112, RB5009UG+, RB5009UPR+, RB4011, RB1100DX4, L009UiGS)</t>
  </si>
  <si>
    <t xml:space="preserve">ISP vertical missing from current site; huge opportunity</t>
  </si>
  <si>
    <t xml:space="preserve">Mikrotik S+85DLC03D 10G-SR SFP+ + S+RJ10 copper SFP+</t>
  </si>
  <si>
    <t xml:space="preserve">Accessory attach-sales on every switch quote</t>
  </si>
  <si>
    <t xml:space="preserve">REVIEW</t>
  </si>
  <si>
    <t xml:space="preserve">HPE Aruba 1930 24G Switch (HPE-ARU1930-24G)</t>
  </si>
  <si>
    <t xml:space="preserve">Mikrotik CRS326-24G-2S+RM or CRS328-24P-4S+RM</t>
  </si>
  <si>
    <t xml:space="preserve">Both cheaper &amp; available from Dubai supplier</t>
  </si>
  <si>
    <t xml:space="preserve">Synology RT6600ax Router (SYN-RT6600AX)</t>
  </si>
  <si>
    <t xml:space="preserve">Mikrotik RB5009UG+S+IN (+ cAP/hAP for WiFi) or keep both</t>
  </si>
  <si>
    <t xml:space="preserve">Mikrotik already in supplier line</t>
  </si>
  <si>
    <t xml:space="preserve">Image / icon search terms — per curated SKU</t>
  </si>
  <si>
    <t xml:space="preserve">File convention: lowercase-hyphenated, max 40 chars, -1200w.jpg + -800w.webp + -400w.webp variants. Prefer vendor/press-kit imagery (mikrotik.com/products, lenovo.com/support/images, hp.com/support, dell.com).</t>
  </si>
  <si>
    <t xml:space="preserve">Filename (base)</t>
  </si>
  <si>
    <t xml:space="preserve">Target folder</t>
  </si>
  <si>
    <t xml:space="preserve">Primary search terms</t>
  </si>
  <si>
    <t xml:space="preserve">Fallback search terms</t>
  </si>
  <si>
    <t xml:space="preserve">mikrotik-ccr2116-12g-4sfp</t>
  </si>
  <si>
    <t xml:space="preserve">images/networking/routers/</t>
  </si>
  <si>
    <t xml:space="preserve">mikrotik ccr2116-12g-4s+ product press image</t>
  </si>
  <si>
    <t xml:space="preserve">ccr2116 12g 4sfp+ official mikrotik.com</t>
  </si>
  <si>
    <t xml:space="preserve">mikrotik-ccr2216-1g-12xs-2xq</t>
  </si>
  <si>
    <t xml:space="preserve">mikrotik ccr2216 1g 12xs 2xq 100g router</t>
  </si>
  <si>
    <t xml:space="preserve">ccr2216 official product photo mikrotik</t>
  </si>
  <si>
    <t xml:space="preserve">mikrotik-ccr2004-16g-2sfp</t>
  </si>
  <si>
    <t xml:space="preserve">mikrotik ccr2004 16g 2s+ png</t>
  </si>
  <si>
    <t xml:space="preserve">ccr2004-16g-2sfp cloud core router image</t>
  </si>
  <si>
    <t xml:space="preserve">mikrotik-ccr2004-12sfp-2xs</t>
  </si>
  <si>
    <t xml:space="preserve">mikrotik ccr2004 1g 12s+ 2xs 25g</t>
  </si>
  <si>
    <t xml:space="preserve">ccr2004 12sfp+ aggregation router</t>
  </si>
  <si>
    <t xml:space="preserve">mikrotik-rb5009upr-s-in</t>
  </si>
  <si>
    <t xml:space="preserve">mikrotik rb5009upr+s+in poe router</t>
  </si>
  <si>
    <t xml:space="preserve">rb5009 upr product image</t>
  </si>
  <si>
    <t xml:space="preserve">mikrotik-rb5009ug-s-in</t>
  </si>
  <si>
    <t xml:space="preserve">mikrotik rb5009ug+s+in router</t>
  </si>
  <si>
    <t xml:space="preserve">rb5009 ug s in press photo</t>
  </si>
  <si>
    <t xml:space="preserve">mikrotik-rb4011igs-rm</t>
  </si>
  <si>
    <t xml:space="preserve">mikrotik rb4011igs+rm rackmount</t>
  </si>
  <si>
    <t xml:space="preserve">rb4011 igs rm 10 gigabit router</t>
  </si>
  <si>
    <t xml:space="preserve">mikrotik-rb1100dx4</t>
  </si>
  <si>
    <t xml:space="preserve">mikrotik rb1100ahx4 dude edition</t>
  </si>
  <si>
    <t xml:space="preserve">rb1100dx4 rackmount router</t>
  </si>
  <si>
    <t xml:space="preserve">mikrotik-l009uigs-rm</t>
  </si>
  <si>
    <t xml:space="preserve">mikrotik l009uigs-rm router</t>
  </si>
  <si>
    <t xml:space="preserve">l009 uigs rm rackmount</t>
  </si>
  <si>
    <t xml:space="preserve">mikrotik-crs354-48g-4sfp-2qsfp</t>
  </si>
  <si>
    <t xml:space="preserve">images/networking/switches/</t>
  </si>
  <si>
    <t xml:space="preserve">mikrotik crs354-48g-4s+2q+rm switch</t>
  </si>
  <si>
    <t xml:space="preserve">crs354 48 port gigabit 40g uplink</t>
  </si>
  <si>
    <t xml:space="preserve">mikrotik-crs354-48p-poe</t>
  </si>
  <si>
    <t xml:space="preserve">mikrotik crs354-48p-4s+2q+rm poe</t>
  </si>
  <si>
    <t xml:space="preserve">crs354 48 port poe switch mikrotik</t>
  </si>
  <si>
    <t xml:space="preserve">mikrotik-crs328-24p-4sfp-rm</t>
  </si>
  <si>
    <t xml:space="preserve">mikrotik crs328-24p-4s+rm poe switch</t>
  </si>
  <si>
    <t xml:space="preserve">crs328 24 port poe+ image</t>
  </si>
  <si>
    <t xml:space="preserve">mikrotik-crs326-24g-2sfp-rm</t>
  </si>
  <si>
    <t xml:space="preserve">mikrotik crs326-24g-2s+rm switch</t>
  </si>
  <si>
    <t xml:space="preserve">crs326 24 gigabit 2 sfp+ rackmount</t>
  </si>
  <si>
    <t xml:space="preserve">mikrotik-crs326-24sfp-2qsfp</t>
  </si>
  <si>
    <t xml:space="preserve">mikrotik crs326-24s+2q+rm 10g 40g</t>
  </si>
  <si>
    <t xml:space="preserve">crs326 24 sfp+ 2 qsfp+ aggregation</t>
  </si>
  <si>
    <t xml:space="preserve">mikrotik-crs318-16p-netpower-outdoor</t>
  </si>
  <si>
    <t xml:space="preserve">mikrotik crs318-16p-2s+out netpower</t>
  </si>
  <si>
    <t xml:space="preserve">crs318 outdoor poe switch</t>
  </si>
  <si>
    <t xml:space="preserve">mikrotik-crs112-8p-4s-in</t>
  </si>
  <si>
    <t xml:space="preserve">mikrotik crs112-8p-4s-in poe</t>
  </si>
  <si>
    <t xml:space="preserve">crs112 8 port poe smart switch</t>
  </si>
  <si>
    <t xml:space="preserve">mikrotik-sfp-plus-sr-10g-transceiver</t>
  </si>
  <si>
    <t xml:space="preserve">images/networking/transceivers/</t>
  </si>
  <si>
    <t xml:space="preserve">mikrotik s+85dlc03d sfp+ 10g sr</t>
  </si>
  <si>
    <t xml:space="preserve">sfp+ 10gbase-sr 850nm module</t>
  </si>
  <si>
    <t xml:space="preserve">mikrotik-sfp-plus-rj45-copper</t>
  </si>
  <si>
    <t xml:space="preserve">mikrotik s+rj10 10g copper sfp+</t>
  </si>
  <si>
    <t xml:space="preserve">sfp+ rj45 10g copper module</t>
  </si>
  <si>
    <t xml:space="preserve">lenovo-thinkpad-e14-gen6-core5</t>
  </si>
  <si>
    <t xml:space="preserve">images/laptops/</t>
  </si>
  <si>
    <t xml:space="preserve">lenovo thinkpad e14 gen6 core 5 210h</t>
  </si>
  <si>
    <t xml:space="preserve">thinkpad e14 21t9 press image</t>
  </si>
  <si>
    <t xml:space="preserve">lenovo-thinkpad-e14-ultra7</t>
  </si>
  <si>
    <t xml:space="preserve">lenovo thinkpad e14 ultra 7 155h</t>
  </si>
  <si>
    <t xml:space="preserve">thinkpad e14 21m7 ultra 7 wuxga</t>
  </si>
  <si>
    <t xml:space="preserve">lenovo-thinkpad-e16-ryzen7</t>
  </si>
  <si>
    <t xml:space="preserve">lenovo thinkpad e16 ryzen 7 7735hs</t>
  </si>
  <si>
    <t xml:space="preserve">thinkpad e16 21m5 amd press photo</t>
  </si>
  <si>
    <t xml:space="preserve">hp-probook-440-g11-ultra5</t>
  </si>
  <si>
    <t xml:space="preserve">hp probook 440 g11 ultra 5 125u</t>
  </si>
  <si>
    <t xml:space="preserve">probook 440 g11 d3nu2at image</t>
  </si>
  <si>
    <t xml:space="preserve">lenovo-thinkcentre-neo-50s-sff</t>
  </si>
  <si>
    <t xml:space="preserve">images/desktops/sff/</t>
  </si>
  <si>
    <t xml:space="preserve">lenovo thinkcentre neo 50s sff gen4</t>
  </si>
  <si>
    <t xml:space="preserve">thinkcentre neo 50s 12jh press image</t>
  </si>
  <si>
    <t xml:space="preserve">lenovo-thinkcentre-neo-50t-tower</t>
  </si>
  <si>
    <t xml:space="preserve">images/desktops/tower/</t>
  </si>
  <si>
    <t xml:space="preserve">lenovo thinkcentre neo 50t gen5 tower</t>
  </si>
  <si>
    <t xml:space="preserve">neo 50t 12ud tower press photo</t>
  </si>
  <si>
    <t xml:space="preserve">lenovo-thinkcentre-neo-30s-mini</t>
  </si>
  <si>
    <t xml:space="preserve">images/desktops/mini/</t>
  </si>
  <si>
    <t xml:space="preserve">lenovo thinkcentre neo 30s gen5 tiny</t>
  </si>
  <si>
    <t xml:space="preserve">neo 30s 13dk mini pc image</t>
  </si>
  <si>
    <t xml:space="preserve">lenovo-thinkcentre-neo-50t-i5</t>
  </si>
  <si>
    <t xml:space="preserve">lenovo thinkcentre neo 50t gen5 i5-13400</t>
  </si>
  <si>
    <t xml:space="preserve">neo 50t i5 tower</t>
  </si>
  <si>
    <t xml:space="preserve">lenovo-thinkcentre-m70s-sff</t>
  </si>
  <si>
    <t xml:space="preserve">lenovo thinkcentre m70s sff i5-14400</t>
  </si>
  <si>
    <t xml:space="preserve">m70s sff press photo</t>
  </si>
  <si>
    <t xml:space="preserve">lenovo-thinkcentre-m70t-tower</t>
  </si>
  <si>
    <t xml:space="preserve">lenovo thinkcentre m70t tower i7-14700</t>
  </si>
  <si>
    <t xml:space="preserve">m70t tower press image</t>
  </si>
  <si>
    <t xml:space="preserve">hp-290-g9-tower-i5</t>
  </si>
  <si>
    <t xml:space="preserve">hp 290 g9 tower i5-14400</t>
  </si>
  <si>
    <t xml:space="preserve">hp 290 g9 ct6y5et product image</t>
  </si>
  <si>
    <t xml:space="preserve">hp-290-g9-tower-i7</t>
  </si>
  <si>
    <t xml:space="preserve">hp 290 g9 tower i7-14700</t>
  </si>
  <si>
    <t xml:space="preserve">hp 290 g9 ca7y3at</t>
  </si>
  <si>
    <t xml:space="preserve">hp-pro-400-g9-sff-i7</t>
  </si>
  <si>
    <t xml:space="preserve">hp pro 400 g9 sff i7-14700</t>
  </si>
  <si>
    <t xml:space="preserve">hp pro 400 g9 99q64et</t>
  </si>
  <si>
    <t xml:space="preserve">hp-elitedesk-800-g9-sff-i7</t>
  </si>
  <si>
    <t xml:space="preserve">hp elitedesk 800 g9 sff i7</t>
  </si>
  <si>
    <t xml:space="preserve">hp 800 g9 sff press image</t>
  </si>
  <si>
    <t xml:space="preserve">dell-optiplex-7020-tower</t>
  </si>
  <si>
    <t xml:space="preserve">dell optiplex 7020 tower i3 14th gen</t>
  </si>
  <si>
    <t xml:space="preserve">optiplex 7020 mt press image</t>
  </si>
  <si>
    <t xml:space="preserve">dell-optiplex-qct1250-sff</t>
  </si>
  <si>
    <t xml:space="preserve">dell optiplex qct1250 i5</t>
  </si>
  <si>
    <t xml:space="preserve">optiplex sff press photo</t>
  </si>
  <si>
    <t xml:space="preserve">dell-optiplex-mini-pro-qcm1250</t>
  </si>
  <si>
    <t xml:space="preserve">dell optiplex mini pro qcm1250 ultra 5 235t</t>
  </si>
  <si>
    <t xml:space="preserve">dell mini pro mff image</t>
  </si>
  <si>
    <t xml:space="preserve">Image folder restructure plan (target state)</t>
  </si>
  <si>
    <t xml:space="preserve">Folder (new)</t>
  </si>
  <si>
    <t xml:space="preserve">Purpose</t>
  </si>
  <si>
    <t xml:space="preserve">images/branding/</t>
  </si>
  <si>
    <t xml:space="preserve">Brand logos (HP, Dell, Lenovo, Mikrotik, Synology, APC, Canon) — svg preferred, png fallback</t>
  </si>
  <si>
    <t xml:space="preserve">images/hero/</t>
  </si>
  <si>
    <t xml:space="preserve">Page hero images (index, catalogue, services). webp @ 1600/1200/800 variants</t>
  </si>
  <si>
    <t xml:space="preserve">Business laptops — one jpg/webp per SKU, -400/-800/-1200 variants</t>
  </si>
  <si>
    <t xml:space="preserve">Business tower PCs</t>
  </si>
  <si>
    <t xml:space="preserve">Small form-factor desktops</t>
  </si>
  <si>
    <t xml:space="preserve">Mini-PC / TFF form factor</t>
  </si>
  <si>
    <t xml:space="preserve">Mikrotik CCR / RB routers</t>
  </si>
  <si>
    <t xml:space="preserve">Mikrotik CRS switches</t>
  </si>
  <si>
    <t xml:space="preserve">SFP+ / QSFP+ modules</t>
  </si>
  <si>
    <t xml:space="preserve">images/peripherals/</t>
  </si>
  <si>
    <t xml:space="preserve">Keyboards, mice, monitors, cables</t>
  </si>
  <si>
    <t xml:space="preserve">images/ups/</t>
  </si>
  <si>
    <t xml:space="preserve">APC and other UPS units</t>
  </si>
  <si>
    <t xml:space="preserve">images/printing/</t>
  </si>
  <si>
    <t xml:space="preserve">Canon / HP printers + scanners</t>
  </si>
  <si>
    <t xml:space="preserve">images/storage/</t>
  </si>
  <si>
    <t xml:space="preserve">Synology NAS + drives</t>
  </si>
  <si>
    <t xml:space="preserve">images/medical/</t>
  </si>
  <si>
    <t xml:space="preserve">Medical supplies imagery</t>
  </si>
  <si>
    <t xml:space="preserve">images/og/</t>
  </si>
  <si>
    <t xml:space="preserve">Open Graph social share images (1200x630 jpg + 800x418 webp)</t>
  </si>
  <si>
    <t xml:space="preserve">images/placeholders/</t>
  </si>
  <si>
    <t xml:space="preserve">Generic SKU silhouette fallbacks (svg)</t>
  </si>
  <si>
    <t xml:space="preserve">(delete) products/</t>
  </si>
  <si>
    <t xml:space="preserve">Flatten into subject folders above — replace refs in HTML</t>
  </si>
  <si>
    <t xml:space="preserve">(delete) products_medical/ + products_medicalsupplies/</t>
  </si>
  <si>
    <t xml:space="preserve">Consolidate under images/medical/</t>
  </si>
  <si>
    <t xml:space="preserve">(delete) products_services/ + products_software/ + products_spares/</t>
  </si>
  <si>
    <t xml:space="preserve">Move into hero/ or dedicated folders as needed</t>
  </si>
  <si>
    <t xml:space="preserve">(delete) Products_placeholders/</t>
  </si>
  <si>
    <t xml:space="preserve">Duplicates of other folders — remove entirely</t>
  </si>
  <si>
    <t xml:space="preserve">(delete) index_main/</t>
  </si>
  <si>
    <t xml:space="preserve">Move into images/hero/</t>
  </si>
  <si>
    <t xml:space="preserve">(rename) Products_logos/ -&gt; images/branding/</t>
  </si>
  <si>
    <t xml:space="preserve">Standardize case &amp; location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</si>
</sst>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0.00"/>
    <numFmt numFmtId="167" formatCode="#,##0"/>
    <numFmt numFmtId="168" formatCode="0.0%"/>
    <numFmt numFmtId="169" formatCode="\$#,##0"/>
    <numFmt numFmtId="170" formatCode="&quot;MK &quot;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8</v>
      </c>
      <c r="C4" s="3" t="s">
        <v>5</v>
      </c>
    </row>
    <row r="5" customFormat="false" ht="15" hidden="false" customHeight="false" outlineLevel="0" collapsed="false">
      <c r="A5" s="3" t="s">
        <v>6</v>
      </c>
      <c r="B5" s="5" t="n">
        <v>1.35</v>
      </c>
      <c r="C5" s="3" t="s">
        <v>7</v>
      </c>
    </row>
    <row r="6" customFormat="false" ht="15" hidden="false" customHeight="false" outlineLevel="0" collapsed="false">
      <c r="A6" s="3" t="s">
        <v>8</v>
      </c>
      <c r="B6" s="6" t="n">
        <v>1734</v>
      </c>
      <c r="C6" s="3" t="s">
        <v>9</v>
      </c>
    </row>
    <row r="7" customFormat="false" ht="15" hidden="false" customHeight="false" outlineLevel="0" collapsed="false">
      <c r="A7" s="3" t="s">
        <v>10</v>
      </c>
      <c r="B7" s="7" t="n">
        <v>0.175</v>
      </c>
      <c r="C7" s="3" t="s">
        <v>11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55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2" min="10" style="0" width="12"/>
    <col collapsed="false" customWidth="true" hidden="false" outlineLevel="0" max="13" min="13" style="0" width="16"/>
    <col collapsed="false" customWidth="true" hidden="false" outlineLevel="0" max="14" min="14" style="0" width="14"/>
  </cols>
  <sheetData>
    <row r="1" customFormat="false" ht="26.8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</row>
    <row r="2" customFormat="false" ht="23.85" hidden="false" customHeight="false" outlineLevel="0" collapsed="false">
      <c r="A2" s="9" t="s">
        <v>26</v>
      </c>
      <c r="B2" s="9" t="s">
        <v>27</v>
      </c>
      <c r="C2" s="9" t="s">
        <v>28</v>
      </c>
      <c r="D2" s="10" t="s">
        <v>29</v>
      </c>
      <c r="E2" s="9" t="s">
        <v>30</v>
      </c>
      <c r="F2" s="9" t="s">
        <v>31</v>
      </c>
      <c r="G2" s="11" t="n">
        <v>1295</v>
      </c>
      <c r="H2" s="9" t="s">
        <v>32</v>
      </c>
      <c r="I2" s="12" t="n">
        <v>3.5</v>
      </c>
      <c r="J2" s="13" t="n">
        <f aca="false">I2*Assumptions!$B$4</f>
        <v>28</v>
      </c>
      <c r="K2" s="13" t="n">
        <f aca="false">G2+J2</f>
        <v>1323</v>
      </c>
      <c r="L2" s="14" t="n">
        <f aca="false">ROUNDUP((G2+J2)*Assumptions!$B$5,-1)</f>
        <v>1790</v>
      </c>
      <c r="M2" s="15" t="n">
        <f aca="false">L2*Assumptions!$B$6</f>
        <v>3103860</v>
      </c>
      <c r="N2" s="9" t="s">
        <v>33</v>
      </c>
    </row>
    <row r="3" customFormat="false" ht="23.85" hidden="false" customHeight="false" outlineLevel="0" collapsed="false">
      <c r="A3" s="9" t="s">
        <v>34</v>
      </c>
      <c r="B3" s="9" t="s">
        <v>27</v>
      </c>
      <c r="C3" s="9" t="s">
        <v>28</v>
      </c>
      <c r="D3" s="10" t="s">
        <v>35</v>
      </c>
      <c r="E3" s="9" t="s">
        <v>30</v>
      </c>
      <c r="F3" s="9" t="s">
        <v>31</v>
      </c>
      <c r="G3" s="11" t="n">
        <v>2995</v>
      </c>
      <c r="H3" s="9" t="s">
        <v>32</v>
      </c>
      <c r="I3" s="12" t="n">
        <v>4</v>
      </c>
      <c r="J3" s="13" t="n">
        <f aca="false">I3*Assumptions!$B$4</f>
        <v>32</v>
      </c>
      <c r="K3" s="13" t="n">
        <f aca="false">G3+J3</f>
        <v>3027</v>
      </c>
      <c r="L3" s="14" t="n">
        <f aca="false">ROUNDUP((G3+J3)*Assumptions!$B$5,-1)</f>
        <v>4090</v>
      </c>
      <c r="M3" s="15" t="n">
        <f aca="false">L3*Assumptions!$B$6</f>
        <v>7092060</v>
      </c>
      <c r="N3" s="9" t="s">
        <v>33</v>
      </c>
    </row>
    <row r="4" customFormat="false" ht="15" hidden="false" customHeight="false" outlineLevel="0" collapsed="false">
      <c r="A4" s="9" t="s">
        <v>36</v>
      </c>
      <c r="B4" s="9" t="s">
        <v>27</v>
      </c>
      <c r="C4" s="9" t="s">
        <v>37</v>
      </c>
      <c r="D4" s="10" t="s">
        <v>38</v>
      </c>
      <c r="E4" s="9" t="s">
        <v>30</v>
      </c>
      <c r="F4" s="9" t="s">
        <v>31</v>
      </c>
      <c r="G4" s="11" t="n">
        <v>475</v>
      </c>
      <c r="H4" s="9" t="s">
        <v>32</v>
      </c>
      <c r="I4" s="12" t="n">
        <v>1.5</v>
      </c>
      <c r="J4" s="13" t="n">
        <f aca="false">I4*Assumptions!$B$4</f>
        <v>12</v>
      </c>
      <c r="K4" s="13" t="n">
        <f aca="false">G4+J4</f>
        <v>487</v>
      </c>
      <c r="L4" s="14" t="n">
        <f aca="false">ROUNDUP((G4+J4)*Assumptions!$B$5,-1)</f>
        <v>660</v>
      </c>
      <c r="M4" s="15" t="n">
        <f aca="false">L4*Assumptions!$B$6</f>
        <v>1144440</v>
      </c>
      <c r="N4" s="9" t="s">
        <v>33</v>
      </c>
    </row>
    <row r="5" customFormat="false" ht="23.85" hidden="false" customHeight="false" outlineLevel="0" collapsed="false">
      <c r="A5" s="9" t="s">
        <v>39</v>
      </c>
      <c r="B5" s="9" t="s">
        <v>27</v>
      </c>
      <c r="C5" s="9" t="s">
        <v>40</v>
      </c>
      <c r="D5" s="10" t="s">
        <v>41</v>
      </c>
      <c r="E5" s="9" t="s">
        <v>30</v>
      </c>
      <c r="F5" s="9" t="s">
        <v>31</v>
      </c>
      <c r="G5" s="11" t="n">
        <v>525</v>
      </c>
      <c r="H5" s="9" t="s">
        <v>32</v>
      </c>
      <c r="I5" s="12" t="n">
        <v>1.5</v>
      </c>
      <c r="J5" s="13" t="n">
        <f aca="false">I5*Assumptions!$B$4</f>
        <v>12</v>
      </c>
      <c r="K5" s="13" t="n">
        <f aca="false">G5+J5</f>
        <v>537</v>
      </c>
      <c r="L5" s="14" t="n">
        <f aca="false">ROUNDUP((G5+J5)*Assumptions!$B$5,-1)</f>
        <v>730</v>
      </c>
      <c r="M5" s="15" t="n">
        <f aca="false">L5*Assumptions!$B$6</f>
        <v>1265820</v>
      </c>
      <c r="N5" s="9" t="s">
        <v>33</v>
      </c>
    </row>
    <row r="6" customFormat="false" ht="15" hidden="false" customHeight="false" outlineLevel="0" collapsed="false">
      <c r="A6" s="9" t="s">
        <v>42</v>
      </c>
      <c r="B6" s="9" t="s">
        <v>27</v>
      </c>
      <c r="C6" s="9" t="s">
        <v>43</v>
      </c>
      <c r="D6" s="10" t="s">
        <v>44</v>
      </c>
      <c r="E6" s="9" t="s">
        <v>30</v>
      </c>
      <c r="F6" s="9" t="s">
        <v>31</v>
      </c>
      <c r="G6" s="11" t="n">
        <v>295</v>
      </c>
      <c r="H6" s="9" t="s">
        <v>32</v>
      </c>
      <c r="I6" s="12" t="n">
        <v>0.9</v>
      </c>
      <c r="J6" s="13" t="n">
        <f aca="false">I6*Assumptions!$B$4</f>
        <v>7.2</v>
      </c>
      <c r="K6" s="13" t="n">
        <f aca="false">G6+J6</f>
        <v>302.2</v>
      </c>
      <c r="L6" s="14" t="n">
        <f aca="false">ROUNDUP((G6+J6)*Assumptions!$B$5,-1)</f>
        <v>410</v>
      </c>
      <c r="M6" s="15" t="n">
        <f aca="false">L6*Assumptions!$B$6</f>
        <v>710940</v>
      </c>
      <c r="N6" s="9" t="s">
        <v>33</v>
      </c>
    </row>
    <row r="7" customFormat="false" ht="15" hidden="false" customHeight="false" outlineLevel="0" collapsed="false">
      <c r="A7" s="9" t="s">
        <v>45</v>
      </c>
      <c r="B7" s="9" t="s">
        <v>27</v>
      </c>
      <c r="C7" s="9" t="s">
        <v>43</v>
      </c>
      <c r="D7" s="10" t="s">
        <v>46</v>
      </c>
      <c r="E7" s="9" t="s">
        <v>30</v>
      </c>
      <c r="F7" s="9" t="s">
        <v>31</v>
      </c>
      <c r="G7" s="11" t="n">
        <v>240</v>
      </c>
      <c r="H7" s="9" t="s">
        <v>32</v>
      </c>
      <c r="I7" s="12" t="n">
        <v>0.7</v>
      </c>
      <c r="J7" s="13" t="n">
        <f aca="false">I7*Assumptions!$B$4</f>
        <v>5.6</v>
      </c>
      <c r="K7" s="13" t="n">
        <f aca="false">G7+J7</f>
        <v>245.6</v>
      </c>
      <c r="L7" s="14" t="n">
        <f aca="false">ROUNDUP((G7+J7)*Assumptions!$B$5,-1)</f>
        <v>340</v>
      </c>
      <c r="M7" s="15" t="n">
        <f aca="false">L7*Assumptions!$B$6</f>
        <v>589560</v>
      </c>
      <c r="N7" s="9" t="s">
        <v>33</v>
      </c>
    </row>
    <row r="8" customFormat="false" ht="15" hidden="false" customHeight="false" outlineLevel="0" collapsed="false">
      <c r="A8" s="9" t="s">
        <v>47</v>
      </c>
      <c r="B8" s="9" t="s">
        <v>27</v>
      </c>
      <c r="C8" s="9" t="s">
        <v>43</v>
      </c>
      <c r="D8" s="10" t="s">
        <v>48</v>
      </c>
      <c r="E8" s="9" t="s">
        <v>30</v>
      </c>
      <c r="F8" s="9" t="s">
        <v>31</v>
      </c>
      <c r="G8" s="11" t="n">
        <v>199</v>
      </c>
      <c r="H8" s="9" t="s">
        <v>32</v>
      </c>
      <c r="I8" s="12" t="n">
        <v>1.1</v>
      </c>
      <c r="J8" s="13" t="n">
        <f aca="false">I8*Assumptions!$B$4</f>
        <v>8.8</v>
      </c>
      <c r="K8" s="13" t="n">
        <f aca="false">G8+J8</f>
        <v>207.8</v>
      </c>
      <c r="L8" s="14" t="n">
        <f aca="false">ROUNDUP((G8+J8)*Assumptions!$B$5,-1)</f>
        <v>290</v>
      </c>
      <c r="M8" s="15" t="n">
        <f aca="false">L8*Assumptions!$B$6</f>
        <v>502860</v>
      </c>
      <c r="N8" s="9" t="s">
        <v>33</v>
      </c>
    </row>
    <row r="9" customFormat="false" ht="23.85" hidden="false" customHeight="false" outlineLevel="0" collapsed="false">
      <c r="A9" s="9" t="s">
        <v>49</v>
      </c>
      <c r="B9" s="9" t="s">
        <v>27</v>
      </c>
      <c r="C9" s="9" t="s">
        <v>43</v>
      </c>
      <c r="D9" s="10" t="s">
        <v>50</v>
      </c>
      <c r="E9" s="9" t="s">
        <v>30</v>
      </c>
      <c r="F9" s="9" t="s">
        <v>31</v>
      </c>
      <c r="G9" s="11" t="n">
        <v>295</v>
      </c>
      <c r="H9" s="9" t="s">
        <v>32</v>
      </c>
      <c r="I9" s="12" t="n">
        <v>1.5</v>
      </c>
      <c r="J9" s="13" t="n">
        <f aca="false">I9*Assumptions!$B$4</f>
        <v>12</v>
      </c>
      <c r="K9" s="13" t="n">
        <f aca="false">G9+J9</f>
        <v>307</v>
      </c>
      <c r="L9" s="14" t="n">
        <f aca="false">ROUNDUP((G9+J9)*Assumptions!$B$5,-1)</f>
        <v>420</v>
      </c>
      <c r="M9" s="15" t="n">
        <f aca="false">L9*Assumptions!$B$6</f>
        <v>728280</v>
      </c>
      <c r="N9" s="9" t="s">
        <v>33</v>
      </c>
    </row>
    <row r="10" customFormat="false" ht="15" hidden="false" customHeight="false" outlineLevel="0" collapsed="false">
      <c r="A10" s="9" t="s">
        <v>51</v>
      </c>
      <c r="B10" s="9" t="s">
        <v>27</v>
      </c>
      <c r="C10" s="9" t="s">
        <v>52</v>
      </c>
      <c r="D10" s="10" t="s">
        <v>53</v>
      </c>
      <c r="E10" s="9" t="s">
        <v>30</v>
      </c>
      <c r="F10" s="9" t="s">
        <v>31</v>
      </c>
      <c r="G10" s="11" t="n">
        <v>175</v>
      </c>
      <c r="H10" s="9" t="s">
        <v>32</v>
      </c>
      <c r="I10" s="12" t="n">
        <v>0.9</v>
      </c>
      <c r="J10" s="13" t="n">
        <f aca="false">I10*Assumptions!$B$4</f>
        <v>7.2</v>
      </c>
      <c r="K10" s="13" t="n">
        <f aca="false">G10+J10</f>
        <v>182.2</v>
      </c>
      <c r="L10" s="14" t="n">
        <f aca="false">ROUNDUP((G10+J10)*Assumptions!$B$5,-1)</f>
        <v>250</v>
      </c>
      <c r="M10" s="15" t="n">
        <f aca="false">L10*Assumptions!$B$6</f>
        <v>433500</v>
      </c>
      <c r="N10" s="9" t="s">
        <v>33</v>
      </c>
    </row>
    <row r="11" customFormat="false" ht="23.85" hidden="false" customHeight="false" outlineLevel="0" collapsed="false">
      <c r="A11" s="9" t="s">
        <v>54</v>
      </c>
      <c r="B11" s="9" t="s">
        <v>27</v>
      </c>
      <c r="C11" s="9" t="s">
        <v>55</v>
      </c>
      <c r="D11" s="10" t="s">
        <v>56</v>
      </c>
      <c r="E11" s="9" t="s">
        <v>30</v>
      </c>
      <c r="F11" s="9" t="s">
        <v>31</v>
      </c>
      <c r="G11" s="11" t="n">
        <v>595</v>
      </c>
      <c r="H11" s="9" t="s">
        <v>32</v>
      </c>
      <c r="I11" s="12" t="n">
        <v>4.5</v>
      </c>
      <c r="J11" s="13" t="n">
        <f aca="false">I11*Assumptions!$B$4</f>
        <v>36</v>
      </c>
      <c r="K11" s="13" t="n">
        <f aca="false">G11+J11</f>
        <v>631</v>
      </c>
      <c r="L11" s="14" t="n">
        <f aca="false">ROUNDUP((G11+J11)*Assumptions!$B$5,-1)</f>
        <v>860</v>
      </c>
      <c r="M11" s="15" t="n">
        <f aca="false">L11*Assumptions!$B$6</f>
        <v>1491240</v>
      </c>
      <c r="N11" s="9" t="s">
        <v>33</v>
      </c>
    </row>
    <row r="12" customFormat="false" ht="23.85" hidden="false" customHeight="false" outlineLevel="0" collapsed="false">
      <c r="A12" s="9" t="s">
        <v>57</v>
      </c>
      <c r="B12" s="9" t="s">
        <v>27</v>
      </c>
      <c r="C12" s="9" t="s">
        <v>58</v>
      </c>
      <c r="D12" s="10" t="s">
        <v>59</v>
      </c>
      <c r="E12" s="9" t="s">
        <v>30</v>
      </c>
      <c r="F12" s="9" t="s">
        <v>31</v>
      </c>
      <c r="G12" s="11" t="n">
        <v>895</v>
      </c>
      <c r="H12" s="9" t="s">
        <v>32</v>
      </c>
      <c r="I12" s="12" t="n">
        <v>5.5</v>
      </c>
      <c r="J12" s="13" t="n">
        <f aca="false">I12*Assumptions!$B$4</f>
        <v>44</v>
      </c>
      <c r="K12" s="13" t="n">
        <f aca="false">G12+J12</f>
        <v>939</v>
      </c>
      <c r="L12" s="14" t="n">
        <f aca="false">ROUNDUP((G12+J12)*Assumptions!$B$5,-1)</f>
        <v>1270</v>
      </c>
      <c r="M12" s="15" t="n">
        <f aca="false">L12*Assumptions!$B$6</f>
        <v>2202180</v>
      </c>
      <c r="N12" s="9" t="s">
        <v>33</v>
      </c>
    </row>
    <row r="13" customFormat="false" ht="23.85" hidden="false" customHeight="false" outlineLevel="0" collapsed="false">
      <c r="A13" s="9" t="s">
        <v>60</v>
      </c>
      <c r="B13" s="9" t="s">
        <v>27</v>
      </c>
      <c r="C13" s="9" t="s">
        <v>61</v>
      </c>
      <c r="D13" s="10" t="s">
        <v>62</v>
      </c>
      <c r="E13" s="9" t="s">
        <v>30</v>
      </c>
      <c r="F13" s="9" t="s">
        <v>31</v>
      </c>
      <c r="G13" s="11" t="n">
        <v>495</v>
      </c>
      <c r="H13" s="9" t="s">
        <v>32</v>
      </c>
      <c r="I13" s="12" t="n">
        <v>4</v>
      </c>
      <c r="J13" s="13" t="n">
        <f aca="false">I13*Assumptions!$B$4</f>
        <v>32</v>
      </c>
      <c r="K13" s="13" t="n">
        <f aca="false">G13+J13</f>
        <v>527</v>
      </c>
      <c r="L13" s="14" t="n">
        <f aca="false">ROUNDUP((G13+J13)*Assumptions!$B$5,-1)</f>
        <v>720</v>
      </c>
      <c r="M13" s="15" t="n">
        <f aca="false">L13*Assumptions!$B$6</f>
        <v>1248480</v>
      </c>
      <c r="N13" s="9" t="s">
        <v>33</v>
      </c>
    </row>
    <row r="14" customFormat="false" ht="15" hidden="false" customHeight="false" outlineLevel="0" collapsed="false">
      <c r="A14" s="9" t="s">
        <v>63</v>
      </c>
      <c r="B14" s="9" t="s">
        <v>27</v>
      </c>
      <c r="C14" s="9" t="s">
        <v>55</v>
      </c>
      <c r="D14" s="10" t="s">
        <v>64</v>
      </c>
      <c r="E14" s="9" t="s">
        <v>30</v>
      </c>
      <c r="F14" s="9" t="s">
        <v>31</v>
      </c>
      <c r="G14" s="11" t="n">
        <v>285</v>
      </c>
      <c r="H14" s="9" t="s">
        <v>32</v>
      </c>
      <c r="I14" s="12" t="n">
        <v>3.2</v>
      </c>
      <c r="J14" s="13" t="n">
        <f aca="false">I14*Assumptions!$B$4</f>
        <v>25.6</v>
      </c>
      <c r="K14" s="13" t="n">
        <f aca="false">G14+J14</f>
        <v>310.6</v>
      </c>
      <c r="L14" s="14" t="n">
        <f aca="false">ROUNDUP((G14+J14)*Assumptions!$B$5,-1)</f>
        <v>420</v>
      </c>
      <c r="M14" s="15" t="n">
        <f aca="false">L14*Assumptions!$B$6</f>
        <v>728280</v>
      </c>
      <c r="N14" s="9" t="s">
        <v>33</v>
      </c>
    </row>
    <row r="15" customFormat="false" ht="15" hidden="false" customHeight="false" outlineLevel="0" collapsed="false">
      <c r="A15" s="9" t="s">
        <v>65</v>
      </c>
      <c r="B15" s="9" t="s">
        <v>27</v>
      </c>
      <c r="C15" s="9" t="s">
        <v>66</v>
      </c>
      <c r="D15" s="10" t="s">
        <v>67</v>
      </c>
      <c r="E15" s="9" t="s">
        <v>30</v>
      </c>
      <c r="F15" s="9" t="s">
        <v>31</v>
      </c>
      <c r="G15" s="11" t="n">
        <v>445</v>
      </c>
      <c r="H15" s="9" t="s">
        <v>32</v>
      </c>
      <c r="I15" s="12" t="n">
        <v>3.5</v>
      </c>
      <c r="J15" s="13" t="n">
        <f aca="false">I15*Assumptions!$B$4</f>
        <v>28</v>
      </c>
      <c r="K15" s="13" t="n">
        <f aca="false">G15+J15</f>
        <v>473</v>
      </c>
      <c r="L15" s="14" t="n">
        <f aca="false">ROUNDUP((G15+J15)*Assumptions!$B$5,-1)</f>
        <v>640</v>
      </c>
      <c r="M15" s="15" t="n">
        <f aca="false">L15*Assumptions!$B$6</f>
        <v>1109760</v>
      </c>
      <c r="N15" s="9" t="s">
        <v>33</v>
      </c>
    </row>
    <row r="16" customFormat="false" ht="23.85" hidden="false" customHeight="false" outlineLevel="0" collapsed="false">
      <c r="A16" s="9" t="s">
        <v>68</v>
      </c>
      <c r="B16" s="9" t="s">
        <v>27</v>
      </c>
      <c r="C16" s="9" t="s">
        <v>69</v>
      </c>
      <c r="D16" s="10" t="s">
        <v>70</v>
      </c>
      <c r="E16" s="9" t="s">
        <v>30</v>
      </c>
      <c r="F16" s="9" t="s">
        <v>31</v>
      </c>
      <c r="G16" s="11" t="n">
        <v>395</v>
      </c>
      <c r="H16" s="9" t="s">
        <v>32</v>
      </c>
      <c r="I16" s="12" t="n">
        <v>3.5</v>
      </c>
      <c r="J16" s="13" t="n">
        <f aca="false">I16*Assumptions!$B$4</f>
        <v>28</v>
      </c>
      <c r="K16" s="13" t="n">
        <f aca="false">G16+J16</f>
        <v>423</v>
      </c>
      <c r="L16" s="14" t="n">
        <f aca="false">ROUNDUP((G16+J16)*Assumptions!$B$5,-1)</f>
        <v>580</v>
      </c>
      <c r="M16" s="15" t="n">
        <f aca="false">L16*Assumptions!$B$6</f>
        <v>1005720</v>
      </c>
      <c r="N16" s="9" t="s">
        <v>33</v>
      </c>
    </row>
    <row r="17" customFormat="false" ht="23.85" hidden="false" customHeight="false" outlineLevel="0" collapsed="false">
      <c r="A17" s="9" t="s">
        <v>71</v>
      </c>
      <c r="B17" s="9" t="s">
        <v>27</v>
      </c>
      <c r="C17" s="9" t="s">
        <v>72</v>
      </c>
      <c r="D17" s="10" t="s">
        <v>73</v>
      </c>
      <c r="E17" s="9" t="s">
        <v>30</v>
      </c>
      <c r="F17" s="9" t="s">
        <v>31</v>
      </c>
      <c r="G17" s="11" t="n">
        <v>195</v>
      </c>
      <c r="H17" s="9" t="s">
        <v>32</v>
      </c>
      <c r="I17" s="12" t="n">
        <v>1.2</v>
      </c>
      <c r="J17" s="13" t="n">
        <f aca="false">I17*Assumptions!$B$4</f>
        <v>9.6</v>
      </c>
      <c r="K17" s="13" t="n">
        <f aca="false">G17+J17</f>
        <v>204.6</v>
      </c>
      <c r="L17" s="14" t="n">
        <f aca="false">ROUNDUP((G17+J17)*Assumptions!$B$5,-1)</f>
        <v>280</v>
      </c>
      <c r="M17" s="15" t="n">
        <f aca="false">L17*Assumptions!$B$6</f>
        <v>485520</v>
      </c>
      <c r="N17" s="9" t="s">
        <v>33</v>
      </c>
    </row>
    <row r="18" customFormat="false" ht="23.85" hidden="false" customHeight="false" outlineLevel="0" collapsed="false">
      <c r="A18" s="9" t="s">
        <v>74</v>
      </c>
      <c r="B18" s="9" t="s">
        <v>27</v>
      </c>
      <c r="C18" s="9" t="s">
        <v>75</v>
      </c>
      <c r="D18" s="10" t="s">
        <v>76</v>
      </c>
      <c r="E18" s="9" t="s">
        <v>30</v>
      </c>
      <c r="F18" s="9" t="s">
        <v>31</v>
      </c>
      <c r="G18" s="11" t="n">
        <v>29</v>
      </c>
      <c r="H18" s="9" t="s">
        <v>32</v>
      </c>
      <c r="I18" s="12" t="n">
        <v>0.1</v>
      </c>
      <c r="J18" s="13" t="n">
        <f aca="false">I18*Assumptions!$B$4</f>
        <v>0.8</v>
      </c>
      <c r="K18" s="13" t="n">
        <f aca="false">G18+J18</f>
        <v>29.8</v>
      </c>
      <c r="L18" s="14" t="n">
        <f aca="false">ROUNDUP((G18+J18)*Assumptions!$B$5,-1)</f>
        <v>50</v>
      </c>
      <c r="M18" s="15" t="n">
        <f aca="false">L18*Assumptions!$B$6</f>
        <v>86700</v>
      </c>
      <c r="N18" s="9" t="s">
        <v>33</v>
      </c>
    </row>
    <row r="19" customFormat="false" ht="15" hidden="false" customHeight="false" outlineLevel="0" collapsed="false">
      <c r="A19" s="9" t="s">
        <v>77</v>
      </c>
      <c r="B19" s="9" t="s">
        <v>27</v>
      </c>
      <c r="C19" s="9" t="s">
        <v>78</v>
      </c>
      <c r="D19" s="10" t="s">
        <v>79</v>
      </c>
      <c r="E19" s="9" t="s">
        <v>30</v>
      </c>
      <c r="F19" s="9" t="s">
        <v>31</v>
      </c>
      <c r="G19" s="11" t="n">
        <v>69</v>
      </c>
      <c r="H19" s="9" t="s">
        <v>32</v>
      </c>
      <c r="I19" s="12" t="n">
        <v>0.1</v>
      </c>
      <c r="J19" s="13" t="n">
        <f aca="false">I19*Assumptions!$B$4</f>
        <v>0.8</v>
      </c>
      <c r="K19" s="13" t="n">
        <f aca="false">G19+J19</f>
        <v>69.8</v>
      </c>
      <c r="L19" s="14" t="n">
        <f aca="false">ROUNDUP((G19+J19)*Assumptions!$B$5,-1)</f>
        <v>100</v>
      </c>
      <c r="M19" s="15" t="n">
        <f aca="false">L19*Assumptions!$B$6</f>
        <v>173400</v>
      </c>
      <c r="N19" s="9" t="s">
        <v>33</v>
      </c>
    </row>
    <row r="20" customFormat="false" ht="23.85" hidden="false" customHeight="false" outlineLevel="0" collapsed="false">
      <c r="A20" s="9" t="s">
        <v>80</v>
      </c>
      <c r="B20" s="9" t="s">
        <v>81</v>
      </c>
      <c r="C20" s="9" t="s">
        <v>82</v>
      </c>
      <c r="D20" s="10" t="s">
        <v>83</v>
      </c>
      <c r="E20" s="9" t="s">
        <v>84</v>
      </c>
      <c r="F20" s="9" t="s">
        <v>31</v>
      </c>
      <c r="G20" s="11" t="n">
        <v>670</v>
      </c>
      <c r="H20" s="9" t="s">
        <v>85</v>
      </c>
      <c r="I20" s="12" t="n">
        <v>2.5</v>
      </c>
      <c r="J20" s="13" t="n">
        <f aca="false">I20*Assumptions!$B$4</f>
        <v>20</v>
      </c>
      <c r="K20" s="13" t="n">
        <f aca="false">G20+J20</f>
        <v>690</v>
      </c>
      <c r="L20" s="14" t="n">
        <f aca="false">ROUNDUP((G20+J20)*Assumptions!$B$5,-1)</f>
        <v>940</v>
      </c>
      <c r="M20" s="15" t="n">
        <f aca="false">L20*Assumptions!$B$6</f>
        <v>1629960</v>
      </c>
      <c r="N20" s="9" t="s">
        <v>33</v>
      </c>
    </row>
    <row r="21" customFormat="false" ht="23.85" hidden="false" customHeight="false" outlineLevel="0" collapsed="false">
      <c r="A21" s="9" t="s">
        <v>86</v>
      </c>
      <c r="B21" s="9" t="s">
        <v>81</v>
      </c>
      <c r="C21" s="9" t="s">
        <v>82</v>
      </c>
      <c r="D21" s="10" t="s">
        <v>87</v>
      </c>
      <c r="E21" s="9" t="s">
        <v>84</v>
      </c>
      <c r="F21" s="9" t="s">
        <v>31</v>
      </c>
      <c r="G21" s="11" t="n">
        <v>799</v>
      </c>
      <c r="H21" s="9" t="s">
        <v>85</v>
      </c>
      <c r="I21" s="12" t="n">
        <v>2.5</v>
      </c>
      <c r="J21" s="13" t="n">
        <f aca="false">I21*Assumptions!$B$4</f>
        <v>20</v>
      </c>
      <c r="K21" s="13" t="n">
        <f aca="false">G21+J21</f>
        <v>819</v>
      </c>
      <c r="L21" s="14" t="n">
        <f aca="false">ROUNDUP((G21+J21)*Assumptions!$B$5,-1)</f>
        <v>1110</v>
      </c>
      <c r="M21" s="15" t="n">
        <f aca="false">L21*Assumptions!$B$6</f>
        <v>1924740</v>
      </c>
      <c r="N21" s="9" t="s">
        <v>33</v>
      </c>
    </row>
    <row r="22" customFormat="false" ht="23.85" hidden="false" customHeight="false" outlineLevel="0" collapsed="false">
      <c r="A22" s="9" t="s">
        <v>88</v>
      </c>
      <c r="B22" s="9" t="s">
        <v>81</v>
      </c>
      <c r="C22" s="9" t="s">
        <v>82</v>
      </c>
      <c r="D22" s="10" t="s">
        <v>89</v>
      </c>
      <c r="E22" s="9" t="s">
        <v>84</v>
      </c>
      <c r="F22" s="9" t="s">
        <v>31</v>
      </c>
      <c r="G22" s="11" t="n">
        <v>675</v>
      </c>
      <c r="H22" s="9" t="s">
        <v>85</v>
      </c>
      <c r="I22" s="12" t="n">
        <v>2.8</v>
      </c>
      <c r="J22" s="13" t="n">
        <f aca="false">I22*Assumptions!$B$4</f>
        <v>22.4</v>
      </c>
      <c r="K22" s="13" t="n">
        <f aca="false">G22+J22</f>
        <v>697.4</v>
      </c>
      <c r="L22" s="14" t="n">
        <f aca="false">ROUNDUP((G22+J22)*Assumptions!$B$5,-1)</f>
        <v>950</v>
      </c>
      <c r="M22" s="15" t="n">
        <f aca="false">L22*Assumptions!$B$6</f>
        <v>1647300</v>
      </c>
      <c r="N22" s="9" t="s">
        <v>33</v>
      </c>
    </row>
    <row r="23" customFormat="false" ht="23.85" hidden="false" customHeight="false" outlineLevel="0" collapsed="false">
      <c r="A23" s="9" t="s">
        <v>90</v>
      </c>
      <c r="B23" s="9" t="s">
        <v>81</v>
      </c>
      <c r="C23" s="9" t="s">
        <v>82</v>
      </c>
      <c r="D23" s="10" t="s">
        <v>91</v>
      </c>
      <c r="E23" s="9" t="s">
        <v>92</v>
      </c>
      <c r="F23" s="9" t="s">
        <v>31</v>
      </c>
      <c r="G23" s="11" t="n">
        <v>750</v>
      </c>
      <c r="H23" s="9" t="s">
        <v>32</v>
      </c>
      <c r="I23" s="12" t="n">
        <v>2.5</v>
      </c>
      <c r="J23" s="13" t="n">
        <f aca="false">I23*Assumptions!$B$4</f>
        <v>20</v>
      </c>
      <c r="K23" s="13" t="n">
        <f aca="false">G23+J23</f>
        <v>770</v>
      </c>
      <c r="L23" s="14" t="n">
        <f aca="false">ROUNDUP((G23+J23)*Assumptions!$B$5,-1)</f>
        <v>1040</v>
      </c>
      <c r="M23" s="15" t="n">
        <f aca="false">L23*Assumptions!$B$6</f>
        <v>1803360</v>
      </c>
      <c r="N23" s="9" t="s">
        <v>33</v>
      </c>
    </row>
    <row r="24" customFormat="false" ht="23.85" hidden="false" customHeight="false" outlineLevel="0" collapsed="false">
      <c r="A24" s="9" t="s">
        <v>93</v>
      </c>
      <c r="B24" s="9" t="s">
        <v>94</v>
      </c>
      <c r="C24" s="9" t="s">
        <v>95</v>
      </c>
      <c r="D24" s="10" t="s">
        <v>96</v>
      </c>
      <c r="E24" s="9" t="s">
        <v>84</v>
      </c>
      <c r="F24" s="9" t="s">
        <v>31</v>
      </c>
      <c r="G24" s="11" t="n">
        <v>370</v>
      </c>
      <c r="H24" s="9" t="s">
        <v>85</v>
      </c>
      <c r="I24" s="12" t="n">
        <v>7</v>
      </c>
      <c r="J24" s="13" t="n">
        <f aca="false">I24*Assumptions!$B$4</f>
        <v>56</v>
      </c>
      <c r="K24" s="13" t="n">
        <f aca="false">G24+J24</f>
        <v>426</v>
      </c>
      <c r="L24" s="14" t="n">
        <f aca="false">ROUNDUP((G24+J24)*Assumptions!$B$5,-1)</f>
        <v>580</v>
      </c>
      <c r="M24" s="15" t="n">
        <f aca="false">L24*Assumptions!$B$6</f>
        <v>1005720</v>
      </c>
      <c r="N24" s="9" t="s">
        <v>33</v>
      </c>
    </row>
    <row r="25" customFormat="false" ht="23.85" hidden="false" customHeight="false" outlineLevel="0" collapsed="false">
      <c r="A25" s="9" t="s">
        <v>97</v>
      </c>
      <c r="B25" s="9" t="s">
        <v>94</v>
      </c>
      <c r="C25" s="9" t="s">
        <v>98</v>
      </c>
      <c r="D25" s="10" t="s">
        <v>99</v>
      </c>
      <c r="E25" s="9" t="s">
        <v>84</v>
      </c>
      <c r="F25" s="9" t="s">
        <v>31</v>
      </c>
      <c r="G25" s="11" t="n">
        <v>435</v>
      </c>
      <c r="H25" s="9" t="s">
        <v>85</v>
      </c>
      <c r="I25" s="12" t="n">
        <v>9</v>
      </c>
      <c r="J25" s="13" t="n">
        <f aca="false">I25*Assumptions!$B$4</f>
        <v>72</v>
      </c>
      <c r="K25" s="13" t="n">
        <f aca="false">G25+J25</f>
        <v>507</v>
      </c>
      <c r="L25" s="14" t="n">
        <f aca="false">ROUNDUP((G25+J25)*Assumptions!$B$5,-1)</f>
        <v>690</v>
      </c>
      <c r="M25" s="15" t="n">
        <f aca="false">L25*Assumptions!$B$6</f>
        <v>1196460</v>
      </c>
      <c r="N25" s="9" t="s">
        <v>33</v>
      </c>
    </row>
    <row r="26" customFormat="false" ht="23.85" hidden="false" customHeight="false" outlineLevel="0" collapsed="false">
      <c r="A26" s="9" t="s">
        <v>100</v>
      </c>
      <c r="B26" s="9" t="s">
        <v>94</v>
      </c>
      <c r="C26" s="9" t="s">
        <v>101</v>
      </c>
      <c r="D26" s="10" t="s">
        <v>102</v>
      </c>
      <c r="E26" s="9" t="s">
        <v>84</v>
      </c>
      <c r="F26" s="9" t="s">
        <v>31</v>
      </c>
      <c r="G26" s="11" t="n">
        <v>475</v>
      </c>
      <c r="H26" s="9" t="s">
        <v>85</v>
      </c>
      <c r="I26" s="12" t="n">
        <v>2.5</v>
      </c>
      <c r="J26" s="13" t="n">
        <f aca="false">I26*Assumptions!$B$4</f>
        <v>20</v>
      </c>
      <c r="K26" s="13" t="n">
        <f aca="false">G26+J26</f>
        <v>495</v>
      </c>
      <c r="L26" s="14" t="n">
        <f aca="false">ROUNDUP((G26+J26)*Assumptions!$B$5,-1)</f>
        <v>670</v>
      </c>
      <c r="M26" s="15" t="n">
        <f aca="false">L26*Assumptions!$B$6</f>
        <v>1161780</v>
      </c>
      <c r="N26" s="9" t="s">
        <v>33</v>
      </c>
    </row>
    <row r="27" customFormat="false" ht="15" hidden="false" customHeight="false" outlineLevel="0" collapsed="false">
      <c r="A27" s="9" t="s">
        <v>103</v>
      </c>
      <c r="B27" s="9" t="s">
        <v>94</v>
      </c>
      <c r="C27" s="9" t="s">
        <v>98</v>
      </c>
      <c r="D27" s="10" t="s">
        <v>104</v>
      </c>
      <c r="E27" s="9" t="s">
        <v>84</v>
      </c>
      <c r="F27" s="9" t="s">
        <v>31</v>
      </c>
      <c r="G27" s="11" t="n">
        <v>515</v>
      </c>
      <c r="H27" s="9" t="s">
        <v>85</v>
      </c>
      <c r="I27" s="12" t="n">
        <v>9</v>
      </c>
      <c r="J27" s="13" t="n">
        <f aca="false">I27*Assumptions!$B$4</f>
        <v>72</v>
      </c>
      <c r="K27" s="13" t="n">
        <f aca="false">G27+J27</f>
        <v>587</v>
      </c>
      <c r="L27" s="14" t="n">
        <f aca="false">ROUNDUP((G27+J27)*Assumptions!$B$5,-1)</f>
        <v>800</v>
      </c>
      <c r="M27" s="15" t="n">
        <f aca="false">L27*Assumptions!$B$6</f>
        <v>1387200</v>
      </c>
      <c r="N27" s="9" t="s">
        <v>33</v>
      </c>
    </row>
    <row r="28" customFormat="false" ht="15" hidden="false" customHeight="false" outlineLevel="0" collapsed="false">
      <c r="A28" s="9" t="s">
        <v>105</v>
      </c>
      <c r="B28" s="9" t="s">
        <v>94</v>
      </c>
      <c r="C28" s="9" t="s">
        <v>95</v>
      </c>
      <c r="D28" s="10" t="s">
        <v>106</v>
      </c>
      <c r="E28" s="9" t="s">
        <v>84</v>
      </c>
      <c r="F28" s="9" t="s">
        <v>31</v>
      </c>
      <c r="G28" s="11" t="n">
        <v>570</v>
      </c>
      <c r="H28" s="9" t="s">
        <v>85</v>
      </c>
      <c r="I28" s="12" t="n">
        <v>7</v>
      </c>
      <c r="J28" s="13" t="n">
        <f aca="false">I28*Assumptions!$B$4</f>
        <v>56</v>
      </c>
      <c r="K28" s="13" t="n">
        <f aca="false">G28+J28</f>
        <v>626</v>
      </c>
      <c r="L28" s="14" t="n">
        <f aca="false">ROUNDUP((G28+J28)*Assumptions!$B$5,-1)</f>
        <v>850</v>
      </c>
      <c r="M28" s="15" t="n">
        <f aca="false">L28*Assumptions!$B$6</f>
        <v>1473900</v>
      </c>
      <c r="N28" s="9" t="s">
        <v>33</v>
      </c>
    </row>
    <row r="29" customFormat="false" ht="15" hidden="false" customHeight="false" outlineLevel="0" collapsed="false">
      <c r="A29" s="9" t="s">
        <v>107</v>
      </c>
      <c r="B29" s="9" t="s">
        <v>94</v>
      </c>
      <c r="C29" s="9" t="s">
        <v>98</v>
      </c>
      <c r="D29" s="10" t="s">
        <v>108</v>
      </c>
      <c r="E29" s="9" t="s">
        <v>84</v>
      </c>
      <c r="F29" s="9" t="s">
        <v>31</v>
      </c>
      <c r="G29" s="11" t="n">
        <v>670</v>
      </c>
      <c r="H29" s="9" t="s">
        <v>85</v>
      </c>
      <c r="I29" s="12" t="n">
        <v>10</v>
      </c>
      <c r="J29" s="13" t="n">
        <f aca="false">I29*Assumptions!$B$4</f>
        <v>80</v>
      </c>
      <c r="K29" s="13" t="n">
        <f aca="false">G29+J29</f>
        <v>750</v>
      </c>
      <c r="L29" s="14" t="n">
        <f aca="false">ROUNDUP((G29+J29)*Assumptions!$B$5,-1)</f>
        <v>1020</v>
      </c>
      <c r="M29" s="15" t="n">
        <f aca="false">L29*Assumptions!$B$6</f>
        <v>1768680</v>
      </c>
      <c r="N29" s="9" t="s">
        <v>33</v>
      </c>
    </row>
    <row r="30" customFormat="false" ht="23.85" hidden="false" customHeight="false" outlineLevel="0" collapsed="false">
      <c r="A30" s="9" t="s">
        <v>109</v>
      </c>
      <c r="B30" s="9" t="s">
        <v>94</v>
      </c>
      <c r="C30" s="9" t="s">
        <v>98</v>
      </c>
      <c r="D30" s="10" t="s">
        <v>110</v>
      </c>
      <c r="E30" s="9" t="s">
        <v>92</v>
      </c>
      <c r="F30" s="9" t="s">
        <v>31</v>
      </c>
      <c r="G30" s="11" t="n">
        <v>540</v>
      </c>
      <c r="H30" s="9" t="s">
        <v>32</v>
      </c>
      <c r="I30" s="12" t="n">
        <v>9</v>
      </c>
      <c r="J30" s="13" t="n">
        <f aca="false">I30*Assumptions!$B$4</f>
        <v>72</v>
      </c>
      <c r="K30" s="13" t="n">
        <f aca="false">G30+J30</f>
        <v>612</v>
      </c>
      <c r="L30" s="14" t="n">
        <f aca="false">ROUNDUP((G30+J30)*Assumptions!$B$5,-1)</f>
        <v>830</v>
      </c>
      <c r="M30" s="15" t="n">
        <f aca="false">L30*Assumptions!$B$6</f>
        <v>1439220</v>
      </c>
      <c r="N30" s="9" t="s">
        <v>33</v>
      </c>
    </row>
    <row r="31" customFormat="false" ht="23.85" hidden="false" customHeight="false" outlineLevel="0" collapsed="false">
      <c r="A31" s="9" t="s">
        <v>111</v>
      </c>
      <c r="B31" s="9" t="s">
        <v>94</v>
      </c>
      <c r="C31" s="9" t="s">
        <v>98</v>
      </c>
      <c r="D31" s="10" t="s">
        <v>112</v>
      </c>
      <c r="E31" s="9" t="s">
        <v>92</v>
      </c>
      <c r="F31" s="9" t="s">
        <v>31</v>
      </c>
      <c r="G31" s="11" t="n">
        <v>690</v>
      </c>
      <c r="H31" s="9" t="s">
        <v>32</v>
      </c>
      <c r="I31" s="12" t="n">
        <v>10</v>
      </c>
      <c r="J31" s="13" t="n">
        <f aca="false">I31*Assumptions!$B$4</f>
        <v>80</v>
      </c>
      <c r="K31" s="13" t="n">
        <f aca="false">G31+J31</f>
        <v>770</v>
      </c>
      <c r="L31" s="14" t="n">
        <f aca="false">ROUNDUP((G31+J31)*Assumptions!$B$5,-1)</f>
        <v>1040</v>
      </c>
      <c r="M31" s="15" t="n">
        <f aca="false">L31*Assumptions!$B$6</f>
        <v>1803360</v>
      </c>
      <c r="N31" s="9" t="s">
        <v>33</v>
      </c>
    </row>
    <row r="32" customFormat="false" ht="23.85" hidden="false" customHeight="false" outlineLevel="0" collapsed="false">
      <c r="A32" s="9" t="s">
        <v>113</v>
      </c>
      <c r="B32" s="9" t="s">
        <v>94</v>
      </c>
      <c r="C32" s="9" t="s">
        <v>95</v>
      </c>
      <c r="D32" s="10" t="s">
        <v>114</v>
      </c>
      <c r="E32" s="9" t="s">
        <v>92</v>
      </c>
      <c r="F32" s="9" t="s">
        <v>31</v>
      </c>
      <c r="G32" s="11" t="n">
        <v>830</v>
      </c>
      <c r="H32" s="9" t="s">
        <v>32</v>
      </c>
      <c r="I32" s="12" t="n">
        <v>7</v>
      </c>
      <c r="J32" s="13" t="n">
        <f aca="false">I32*Assumptions!$B$4</f>
        <v>56</v>
      </c>
      <c r="K32" s="13" t="n">
        <f aca="false">G32+J32</f>
        <v>886</v>
      </c>
      <c r="L32" s="14" t="n">
        <f aca="false">ROUNDUP((G32+J32)*Assumptions!$B$5,-1)</f>
        <v>1200</v>
      </c>
      <c r="M32" s="15" t="n">
        <f aca="false">L32*Assumptions!$B$6</f>
        <v>2080800</v>
      </c>
      <c r="N32" s="9" t="s">
        <v>33</v>
      </c>
    </row>
    <row r="33" customFormat="false" ht="15" hidden="false" customHeight="false" outlineLevel="0" collapsed="false">
      <c r="A33" s="9" t="s">
        <v>115</v>
      </c>
      <c r="B33" s="9" t="s">
        <v>94</v>
      </c>
      <c r="C33" s="9" t="s">
        <v>95</v>
      </c>
      <c r="D33" s="10" t="s">
        <v>116</v>
      </c>
      <c r="E33" s="9" t="s">
        <v>92</v>
      </c>
      <c r="F33" s="9" t="s">
        <v>31</v>
      </c>
      <c r="G33" s="11" t="n">
        <v>950</v>
      </c>
      <c r="H33" s="9" t="s">
        <v>32</v>
      </c>
      <c r="I33" s="12" t="n">
        <v>7</v>
      </c>
      <c r="J33" s="13" t="n">
        <f aca="false">I33*Assumptions!$B$4</f>
        <v>56</v>
      </c>
      <c r="K33" s="13" t="n">
        <f aca="false">G33+J33</f>
        <v>1006</v>
      </c>
      <c r="L33" s="14" t="n">
        <f aca="false">ROUNDUP((G33+J33)*Assumptions!$B$5,-1)</f>
        <v>1360</v>
      </c>
      <c r="M33" s="15" t="n">
        <f aca="false">L33*Assumptions!$B$6</f>
        <v>2358240</v>
      </c>
      <c r="N33" s="9" t="s">
        <v>33</v>
      </c>
    </row>
    <row r="34" customFormat="false" ht="15" hidden="false" customHeight="false" outlineLevel="0" collapsed="false">
      <c r="A34" s="9" t="s">
        <v>117</v>
      </c>
      <c r="B34" s="9" t="s">
        <v>94</v>
      </c>
      <c r="C34" s="9" t="s">
        <v>98</v>
      </c>
      <c r="D34" s="10" t="s">
        <v>118</v>
      </c>
      <c r="E34" s="9" t="s">
        <v>119</v>
      </c>
      <c r="F34" s="9" t="s">
        <v>31</v>
      </c>
      <c r="G34" s="11" t="n">
        <v>500</v>
      </c>
      <c r="H34" s="9" t="s">
        <v>32</v>
      </c>
      <c r="I34" s="12" t="n">
        <v>9</v>
      </c>
      <c r="J34" s="13" t="n">
        <f aca="false">I34*Assumptions!$B$4</f>
        <v>72</v>
      </c>
      <c r="K34" s="13" t="n">
        <f aca="false">G34+J34</f>
        <v>572</v>
      </c>
      <c r="L34" s="14" t="n">
        <f aca="false">ROUNDUP((G34+J34)*Assumptions!$B$5,-1)</f>
        <v>780</v>
      </c>
      <c r="M34" s="15" t="n">
        <f aca="false">L34*Assumptions!$B$6</f>
        <v>1352520</v>
      </c>
      <c r="N34" s="9" t="s">
        <v>33</v>
      </c>
    </row>
    <row r="35" customFormat="false" ht="15" hidden="false" customHeight="false" outlineLevel="0" collapsed="false">
      <c r="A35" s="9" t="s">
        <v>120</v>
      </c>
      <c r="B35" s="9" t="s">
        <v>94</v>
      </c>
      <c r="C35" s="9" t="s">
        <v>95</v>
      </c>
      <c r="D35" s="10" t="s">
        <v>121</v>
      </c>
      <c r="E35" s="9" t="s">
        <v>119</v>
      </c>
      <c r="F35" s="9" t="s">
        <v>31</v>
      </c>
      <c r="G35" s="11" t="n">
        <v>575</v>
      </c>
      <c r="H35" s="9" t="s">
        <v>32</v>
      </c>
      <c r="I35" s="12" t="n">
        <v>7</v>
      </c>
      <c r="J35" s="13" t="n">
        <f aca="false">I35*Assumptions!$B$4</f>
        <v>56</v>
      </c>
      <c r="K35" s="13" t="n">
        <f aca="false">G35+J35</f>
        <v>631</v>
      </c>
      <c r="L35" s="14" t="n">
        <f aca="false">ROUNDUP((G35+J35)*Assumptions!$B$5,-1)</f>
        <v>860</v>
      </c>
      <c r="M35" s="15" t="n">
        <f aca="false">L35*Assumptions!$B$6</f>
        <v>1491240</v>
      </c>
      <c r="N35" s="9" t="s">
        <v>33</v>
      </c>
    </row>
    <row r="36" customFormat="false" ht="23.85" hidden="false" customHeight="false" outlineLevel="0" collapsed="false">
      <c r="A36" s="9" t="s">
        <v>122</v>
      </c>
      <c r="B36" s="9" t="s">
        <v>94</v>
      </c>
      <c r="C36" s="9" t="s">
        <v>101</v>
      </c>
      <c r="D36" s="10" t="s">
        <v>123</v>
      </c>
      <c r="E36" s="9" t="s">
        <v>119</v>
      </c>
      <c r="F36" s="9" t="s">
        <v>31</v>
      </c>
      <c r="G36" s="11" t="n">
        <v>625</v>
      </c>
      <c r="H36" s="9" t="s">
        <v>32</v>
      </c>
      <c r="I36" s="12" t="n">
        <v>2.5</v>
      </c>
      <c r="J36" s="13" t="n">
        <f aca="false">I36*Assumptions!$B$4</f>
        <v>20</v>
      </c>
      <c r="K36" s="13" t="n">
        <f aca="false">G36+J36</f>
        <v>645</v>
      </c>
      <c r="L36" s="14" t="n">
        <f aca="false">ROUNDUP((G36+J36)*Assumptions!$B$5,-1)</f>
        <v>880</v>
      </c>
      <c r="M36" s="15" t="n">
        <f aca="false">L36*Assumptions!$B$6</f>
        <v>1525920</v>
      </c>
      <c r="N36" s="9" t="s">
        <v>33</v>
      </c>
    </row>
    <row r="38" customFormat="false" ht="15" hidden="false" customHeight="false" outlineLevel="0" collapsed="false">
      <c r="K38" s="2" t="s">
        <v>124</v>
      </c>
      <c r="L38" s="16" t="n">
        <f aca="false">SUM(L2:L36)</f>
        <v>29500</v>
      </c>
      <c r="M38" s="17" t="n">
        <f aca="false">SUM(M2:M36)</f>
        <v>51153000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2"/>
    <col collapsed="false" customWidth="true" hidden="false" outlineLevel="0" max="3" min="3" style="0" width="46"/>
  </cols>
  <sheetData>
    <row r="1" customFormat="false" ht="15" hidden="false" customHeight="false" outlineLevel="0" collapsed="false">
      <c r="A1" s="18" t="s">
        <v>125</v>
      </c>
      <c r="B1" s="18"/>
      <c r="C1" s="18"/>
    </row>
    <row r="2" customFormat="false" ht="15" hidden="false" customHeight="false" outlineLevel="0" collapsed="false">
      <c r="A2" s="2" t="s">
        <v>126</v>
      </c>
      <c r="B2" s="2" t="s">
        <v>127</v>
      </c>
      <c r="C2" s="2" t="s">
        <v>3</v>
      </c>
    </row>
    <row r="3" customFormat="false" ht="15" hidden="false" customHeight="false" outlineLevel="0" collapsed="false">
      <c r="A3" s="19" t="s">
        <v>128</v>
      </c>
      <c r="B3" s="19" t="s">
        <v>129</v>
      </c>
      <c r="C3" s="19" t="s">
        <v>130</v>
      </c>
    </row>
    <row r="4" customFormat="false" ht="15" hidden="false" customHeight="false" outlineLevel="0" collapsed="false">
      <c r="A4" s="19" t="s">
        <v>131</v>
      </c>
      <c r="B4" s="19" t="s">
        <v>132</v>
      </c>
      <c r="C4" s="19" t="s">
        <v>133</v>
      </c>
    </row>
    <row r="5" customFormat="false" ht="15" hidden="false" customHeight="false" outlineLevel="0" collapsed="false">
      <c r="A5" s="19" t="s">
        <v>134</v>
      </c>
      <c r="B5" s="19" t="s">
        <v>135</v>
      </c>
      <c r="C5" s="19" t="s">
        <v>136</v>
      </c>
    </row>
    <row r="6" customFormat="false" ht="15" hidden="false" customHeight="false" outlineLevel="0" collapsed="false">
      <c r="A6" s="19" t="s">
        <v>137</v>
      </c>
      <c r="B6" s="19" t="s">
        <v>138</v>
      </c>
      <c r="C6" s="19" t="s">
        <v>136</v>
      </c>
    </row>
    <row r="7" customFormat="false" ht="15" hidden="false" customHeight="false" outlineLevel="0" collapsed="false">
      <c r="A7" s="19" t="s">
        <v>139</v>
      </c>
      <c r="B7" s="19" t="s">
        <v>140</v>
      </c>
      <c r="C7" s="19" t="s">
        <v>141</v>
      </c>
    </row>
    <row r="8" customFormat="false" ht="15" hidden="false" customHeight="false" outlineLevel="0" collapsed="false">
      <c r="A8" s="19" t="s">
        <v>142</v>
      </c>
      <c r="B8" s="19" t="s">
        <v>143</v>
      </c>
      <c r="C8" s="19" t="s">
        <v>144</v>
      </c>
    </row>
    <row r="9" customFormat="false" ht="15" hidden="false" customHeight="false" outlineLevel="0" collapsed="false">
      <c r="A9" s="19" t="s">
        <v>145</v>
      </c>
      <c r="B9" s="19" t="s">
        <v>146</v>
      </c>
      <c r="C9" s="19" t="s">
        <v>147</v>
      </c>
    </row>
    <row r="10" customFormat="false" ht="23.85" hidden="false" customHeight="false" outlineLevel="0" collapsed="false">
      <c r="A10" s="19" t="s">
        <v>148</v>
      </c>
      <c r="B10" s="19" t="s">
        <v>149</v>
      </c>
      <c r="C10" s="19" t="s">
        <v>150</v>
      </c>
    </row>
    <row r="11" customFormat="false" ht="15" hidden="false" customHeight="false" outlineLevel="0" collapsed="false">
      <c r="A11" s="19" t="s">
        <v>151</v>
      </c>
      <c r="B11" s="19" t="s">
        <v>152</v>
      </c>
      <c r="C11" s="19" t="s">
        <v>150</v>
      </c>
    </row>
    <row r="12" customFormat="false" ht="23.85" hidden="false" customHeight="false" outlineLevel="0" collapsed="false">
      <c r="A12" s="19" t="s">
        <v>153</v>
      </c>
      <c r="B12" s="19" t="s">
        <v>154</v>
      </c>
      <c r="C12" s="19" t="s">
        <v>155</v>
      </c>
    </row>
    <row r="13" customFormat="false" ht="23.85" hidden="false" customHeight="false" outlineLevel="0" collapsed="false">
      <c r="A13" s="19" t="s">
        <v>156</v>
      </c>
      <c r="B13" s="19" t="s">
        <v>157</v>
      </c>
      <c r="C13" s="19" t="s">
        <v>150</v>
      </c>
    </row>
    <row r="14" customFormat="false" ht="15" hidden="false" customHeight="false" outlineLevel="0" collapsed="false">
      <c r="A14" s="19" t="s">
        <v>158</v>
      </c>
      <c r="B14" s="19" t="s">
        <v>159</v>
      </c>
      <c r="C14" s="19" t="s">
        <v>150</v>
      </c>
    </row>
    <row r="15" customFormat="false" ht="15" hidden="false" customHeight="false" outlineLevel="0" collapsed="false">
      <c r="A15" s="19" t="s">
        <v>160</v>
      </c>
      <c r="B15" s="19" t="s">
        <v>161</v>
      </c>
      <c r="C15" s="19" t="s">
        <v>150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55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18" t="s">
        <v>162</v>
      </c>
      <c r="B1" s="18"/>
      <c r="C1" s="18"/>
      <c r="D1" s="18"/>
    </row>
    <row r="2" customFormat="false" ht="15" hidden="false" customHeight="false" outlineLevel="0" collapsed="false">
      <c r="A2" s="2" t="s">
        <v>163</v>
      </c>
      <c r="B2" s="2" t="s">
        <v>164</v>
      </c>
      <c r="C2" s="2" t="s">
        <v>165</v>
      </c>
      <c r="D2" s="2" t="s">
        <v>166</v>
      </c>
    </row>
    <row r="3" customFormat="false" ht="15" hidden="false" customHeight="false" outlineLevel="0" collapsed="false">
      <c r="A3" s="19" t="s">
        <v>167</v>
      </c>
      <c r="B3" s="19" t="s">
        <v>168</v>
      </c>
      <c r="C3" s="19" t="s">
        <v>169</v>
      </c>
      <c r="D3" s="19" t="s">
        <v>170</v>
      </c>
    </row>
    <row r="4" customFormat="false" ht="15" hidden="false" customHeight="false" outlineLevel="0" collapsed="false">
      <c r="A4" s="19" t="s">
        <v>167</v>
      </c>
      <c r="B4" s="19" t="s">
        <v>171</v>
      </c>
      <c r="C4" s="19" t="s">
        <v>172</v>
      </c>
      <c r="D4" s="19" t="s">
        <v>173</v>
      </c>
    </row>
    <row r="5" customFormat="false" ht="23.85" hidden="false" customHeight="false" outlineLevel="0" collapsed="false">
      <c r="A5" s="19" t="s">
        <v>167</v>
      </c>
      <c r="B5" s="19" t="s">
        <v>174</v>
      </c>
      <c r="C5" s="19" t="s">
        <v>175</v>
      </c>
      <c r="D5" s="19" t="s">
        <v>176</v>
      </c>
    </row>
    <row r="6" customFormat="false" ht="15" hidden="false" customHeight="false" outlineLevel="0" collapsed="false">
      <c r="A6" s="19" t="s">
        <v>167</v>
      </c>
      <c r="B6" s="19" t="s">
        <v>177</v>
      </c>
      <c r="C6" s="19" t="s">
        <v>178</v>
      </c>
      <c r="D6" s="19" t="s">
        <v>179</v>
      </c>
    </row>
    <row r="7" customFormat="false" ht="15" hidden="false" customHeight="false" outlineLevel="0" collapsed="false">
      <c r="A7" s="19" t="s">
        <v>167</v>
      </c>
      <c r="B7" s="19" t="s">
        <v>180</v>
      </c>
      <c r="C7" s="19" t="s">
        <v>181</v>
      </c>
      <c r="D7" s="19" t="s">
        <v>182</v>
      </c>
    </row>
    <row r="8" customFormat="false" ht="23.85" hidden="false" customHeight="false" outlineLevel="0" collapsed="false">
      <c r="A8" s="19" t="s">
        <v>167</v>
      </c>
      <c r="B8" s="19" t="s">
        <v>183</v>
      </c>
      <c r="C8" s="19" t="s">
        <v>184</v>
      </c>
      <c r="D8" s="19" t="s">
        <v>185</v>
      </c>
    </row>
    <row r="9" customFormat="false" ht="35.05" hidden="false" customHeight="false" outlineLevel="0" collapsed="false">
      <c r="A9" s="19" t="s">
        <v>186</v>
      </c>
      <c r="B9" s="19" t="s">
        <v>187</v>
      </c>
      <c r="C9" s="19" t="s">
        <v>188</v>
      </c>
      <c r="D9" s="19" t="s">
        <v>189</v>
      </c>
    </row>
    <row r="10" customFormat="false" ht="15" hidden="false" customHeight="false" outlineLevel="0" collapsed="false">
      <c r="A10" s="19" t="s">
        <v>186</v>
      </c>
      <c r="B10" s="19" t="s">
        <v>187</v>
      </c>
      <c r="C10" s="19" t="s">
        <v>190</v>
      </c>
      <c r="D10" s="19" t="s">
        <v>191</v>
      </c>
    </row>
    <row r="11" customFormat="false" ht="15" hidden="false" customHeight="false" outlineLevel="0" collapsed="false">
      <c r="A11" s="19" t="s">
        <v>192</v>
      </c>
      <c r="B11" s="19" t="s">
        <v>193</v>
      </c>
      <c r="C11" s="19" t="s">
        <v>194</v>
      </c>
      <c r="D11" s="19" t="s">
        <v>195</v>
      </c>
    </row>
    <row r="12" customFormat="false" ht="15" hidden="false" customHeight="false" outlineLevel="0" collapsed="false">
      <c r="A12" s="19" t="s">
        <v>192</v>
      </c>
      <c r="B12" s="19" t="s">
        <v>196</v>
      </c>
      <c r="C12" s="19" t="s">
        <v>197</v>
      </c>
      <c r="D12" s="19" t="s">
        <v>198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46"/>
    <col collapsed="false" customWidth="true" hidden="false" outlineLevel="0" max="5" min="5" style="0" width="38"/>
  </cols>
  <sheetData>
    <row r="1" customFormat="false" ht="15" hidden="false" customHeight="false" outlineLevel="0" collapsed="false">
      <c r="A1" s="18" t="s">
        <v>199</v>
      </c>
      <c r="B1" s="18"/>
      <c r="C1" s="18"/>
      <c r="D1" s="18"/>
      <c r="E1" s="18"/>
    </row>
    <row r="2" customFormat="false" ht="23.85" hidden="false" customHeight="true" outlineLevel="0" collapsed="false">
      <c r="A2" s="20" t="s">
        <v>200</v>
      </c>
      <c r="B2" s="20"/>
      <c r="C2" s="20"/>
      <c r="D2" s="20"/>
      <c r="E2" s="20"/>
    </row>
    <row r="3" customFormat="false" ht="15" hidden="false" customHeight="false" outlineLevel="0" collapsed="false">
      <c r="A3" s="2" t="s">
        <v>12</v>
      </c>
      <c r="B3" s="2" t="s">
        <v>201</v>
      </c>
      <c r="C3" s="2" t="s">
        <v>202</v>
      </c>
      <c r="D3" s="2" t="s">
        <v>203</v>
      </c>
      <c r="E3" s="2" t="s">
        <v>204</v>
      </c>
    </row>
    <row r="4" customFormat="false" ht="26.85" hidden="false" customHeight="false" outlineLevel="0" collapsed="false">
      <c r="A4" s="21" t="s">
        <v>26</v>
      </c>
      <c r="B4" s="21" t="s">
        <v>205</v>
      </c>
      <c r="C4" s="21" t="s">
        <v>206</v>
      </c>
      <c r="D4" s="21" t="s">
        <v>207</v>
      </c>
      <c r="E4" s="21" t="s">
        <v>208</v>
      </c>
    </row>
    <row r="5" customFormat="false" ht="26.85" hidden="false" customHeight="false" outlineLevel="0" collapsed="false">
      <c r="A5" s="21" t="s">
        <v>34</v>
      </c>
      <c r="B5" s="21" t="s">
        <v>209</v>
      </c>
      <c r="C5" s="21" t="s">
        <v>206</v>
      </c>
      <c r="D5" s="21" t="s">
        <v>210</v>
      </c>
      <c r="E5" s="21" t="s">
        <v>211</v>
      </c>
    </row>
    <row r="6" customFormat="false" ht="26.85" hidden="false" customHeight="false" outlineLevel="0" collapsed="false">
      <c r="A6" s="21" t="s">
        <v>36</v>
      </c>
      <c r="B6" s="21" t="s">
        <v>212</v>
      </c>
      <c r="C6" s="21" t="s">
        <v>206</v>
      </c>
      <c r="D6" s="21" t="s">
        <v>213</v>
      </c>
      <c r="E6" s="21" t="s">
        <v>214</v>
      </c>
    </row>
    <row r="7" customFormat="false" ht="26.85" hidden="false" customHeight="false" outlineLevel="0" collapsed="false">
      <c r="A7" s="21" t="s">
        <v>39</v>
      </c>
      <c r="B7" s="21" t="s">
        <v>215</v>
      </c>
      <c r="C7" s="21" t="s">
        <v>206</v>
      </c>
      <c r="D7" s="21" t="s">
        <v>216</v>
      </c>
      <c r="E7" s="21" t="s">
        <v>217</v>
      </c>
    </row>
    <row r="8" customFormat="false" ht="26.85" hidden="false" customHeight="false" outlineLevel="0" collapsed="false">
      <c r="A8" s="21" t="s">
        <v>42</v>
      </c>
      <c r="B8" s="21" t="s">
        <v>218</v>
      </c>
      <c r="C8" s="21" t="s">
        <v>206</v>
      </c>
      <c r="D8" s="21" t="s">
        <v>219</v>
      </c>
      <c r="E8" s="21" t="s">
        <v>220</v>
      </c>
    </row>
    <row r="9" customFormat="false" ht="15" hidden="false" customHeight="false" outlineLevel="0" collapsed="false">
      <c r="A9" s="21" t="s">
        <v>45</v>
      </c>
      <c r="B9" s="21" t="s">
        <v>221</v>
      </c>
      <c r="C9" s="21" t="s">
        <v>206</v>
      </c>
      <c r="D9" s="21" t="s">
        <v>222</v>
      </c>
      <c r="E9" s="21" t="s">
        <v>223</v>
      </c>
    </row>
    <row r="10" customFormat="false" ht="15" hidden="false" customHeight="false" outlineLevel="0" collapsed="false">
      <c r="A10" s="21" t="s">
        <v>47</v>
      </c>
      <c r="B10" s="21" t="s">
        <v>224</v>
      </c>
      <c r="C10" s="21" t="s">
        <v>206</v>
      </c>
      <c r="D10" s="21" t="s">
        <v>225</v>
      </c>
      <c r="E10" s="21" t="s">
        <v>226</v>
      </c>
    </row>
    <row r="11" customFormat="false" ht="15" hidden="false" customHeight="false" outlineLevel="0" collapsed="false">
      <c r="A11" s="21" t="s">
        <v>49</v>
      </c>
      <c r="B11" s="21" t="s">
        <v>227</v>
      </c>
      <c r="C11" s="21" t="s">
        <v>206</v>
      </c>
      <c r="D11" s="21" t="s">
        <v>228</v>
      </c>
      <c r="E11" s="21" t="s">
        <v>229</v>
      </c>
    </row>
    <row r="12" customFormat="false" ht="15" hidden="false" customHeight="false" outlineLevel="0" collapsed="false">
      <c r="A12" s="21" t="s">
        <v>51</v>
      </c>
      <c r="B12" s="21" t="s">
        <v>230</v>
      </c>
      <c r="C12" s="21" t="s">
        <v>206</v>
      </c>
      <c r="D12" s="21" t="s">
        <v>231</v>
      </c>
      <c r="E12" s="21" t="s">
        <v>232</v>
      </c>
    </row>
    <row r="13" customFormat="false" ht="26.85" hidden="false" customHeight="false" outlineLevel="0" collapsed="false">
      <c r="A13" s="21" t="s">
        <v>54</v>
      </c>
      <c r="B13" s="21" t="s">
        <v>233</v>
      </c>
      <c r="C13" s="21" t="s">
        <v>234</v>
      </c>
      <c r="D13" s="21" t="s">
        <v>235</v>
      </c>
      <c r="E13" s="21" t="s">
        <v>236</v>
      </c>
    </row>
    <row r="14" customFormat="false" ht="26.85" hidden="false" customHeight="false" outlineLevel="0" collapsed="false">
      <c r="A14" s="21" t="s">
        <v>57</v>
      </c>
      <c r="B14" s="21" t="s">
        <v>237</v>
      </c>
      <c r="C14" s="21" t="s">
        <v>234</v>
      </c>
      <c r="D14" s="21" t="s">
        <v>238</v>
      </c>
      <c r="E14" s="21" t="s">
        <v>239</v>
      </c>
    </row>
    <row r="15" customFormat="false" ht="26.85" hidden="false" customHeight="false" outlineLevel="0" collapsed="false">
      <c r="A15" s="21" t="s">
        <v>60</v>
      </c>
      <c r="B15" s="21" t="s">
        <v>240</v>
      </c>
      <c r="C15" s="21" t="s">
        <v>234</v>
      </c>
      <c r="D15" s="21" t="s">
        <v>241</v>
      </c>
      <c r="E15" s="21" t="s">
        <v>242</v>
      </c>
    </row>
    <row r="16" customFormat="false" ht="26.85" hidden="false" customHeight="false" outlineLevel="0" collapsed="false">
      <c r="A16" s="21" t="s">
        <v>63</v>
      </c>
      <c r="B16" s="21" t="s">
        <v>243</v>
      </c>
      <c r="C16" s="21" t="s">
        <v>234</v>
      </c>
      <c r="D16" s="21" t="s">
        <v>244</v>
      </c>
      <c r="E16" s="21" t="s">
        <v>245</v>
      </c>
    </row>
    <row r="17" customFormat="false" ht="26.85" hidden="false" customHeight="false" outlineLevel="0" collapsed="false">
      <c r="A17" s="21" t="s">
        <v>65</v>
      </c>
      <c r="B17" s="21" t="s">
        <v>246</v>
      </c>
      <c r="C17" s="21" t="s">
        <v>234</v>
      </c>
      <c r="D17" s="21" t="s">
        <v>247</v>
      </c>
      <c r="E17" s="21" t="s">
        <v>248</v>
      </c>
    </row>
    <row r="18" customFormat="false" ht="26.85" hidden="false" customHeight="false" outlineLevel="0" collapsed="false">
      <c r="A18" s="21" t="s">
        <v>68</v>
      </c>
      <c r="B18" s="21" t="s">
        <v>249</v>
      </c>
      <c r="C18" s="21" t="s">
        <v>234</v>
      </c>
      <c r="D18" s="21" t="s">
        <v>250</v>
      </c>
      <c r="E18" s="21" t="s">
        <v>251</v>
      </c>
    </row>
    <row r="19" customFormat="false" ht="15" hidden="false" customHeight="false" outlineLevel="0" collapsed="false">
      <c r="A19" s="21" t="s">
        <v>71</v>
      </c>
      <c r="B19" s="21" t="s">
        <v>252</v>
      </c>
      <c r="C19" s="21" t="s">
        <v>234</v>
      </c>
      <c r="D19" s="21" t="s">
        <v>253</v>
      </c>
      <c r="E19" s="21" t="s">
        <v>254</v>
      </c>
    </row>
    <row r="20" customFormat="false" ht="26.85" hidden="false" customHeight="false" outlineLevel="0" collapsed="false">
      <c r="A20" s="21" t="s">
        <v>74</v>
      </c>
      <c r="B20" s="21" t="s">
        <v>255</v>
      </c>
      <c r="C20" s="21" t="s">
        <v>256</v>
      </c>
      <c r="D20" s="21" t="s">
        <v>257</v>
      </c>
      <c r="E20" s="21" t="s">
        <v>258</v>
      </c>
    </row>
    <row r="21" customFormat="false" ht="26.85" hidden="false" customHeight="false" outlineLevel="0" collapsed="false">
      <c r="A21" s="21" t="s">
        <v>77</v>
      </c>
      <c r="B21" s="21" t="s">
        <v>259</v>
      </c>
      <c r="C21" s="21" t="s">
        <v>256</v>
      </c>
      <c r="D21" s="21" t="s">
        <v>260</v>
      </c>
      <c r="E21" s="21" t="s">
        <v>261</v>
      </c>
    </row>
    <row r="22" customFormat="false" ht="15" hidden="false" customHeight="false" outlineLevel="0" collapsed="false">
      <c r="A22" s="21" t="s">
        <v>80</v>
      </c>
      <c r="B22" s="21" t="s">
        <v>262</v>
      </c>
      <c r="C22" s="21" t="s">
        <v>263</v>
      </c>
      <c r="D22" s="21" t="s">
        <v>264</v>
      </c>
      <c r="E22" s="21" t="s">
        <v>265</v>
      </c>
    </row>
    <row r="23" customFormat="false" ht="15" hidden="false" customHeight="false" outlineLevel="0" collapsed="false">
      <c r="A23" s="21" t="s">
        <v>86</v>
      </c>
      <c r="B23" s="21" t="s">
        <v>266</v>
      </c>
      <c r="C23" s="21" t="s">
        <v>263</v>
      </c>
      <c r="D23" s="21" t="s">
        <v>267</v>
      </c>
      <c r="E23" s="21" t="s">
        <v>268</v>
      </c>
    </row>
    <row r="24" customFormat="false" ht="15" hidden="false" customHeight="false" outlineLevel="0" collapsed="false">
      <c r="A24" s="21" t="s">
        <v>88</v>
      </c>
      <c r="B24" s="21" t="s">
        <v>269</v>
      </c>
      <c r="C24" s="21" t="s">
        <v>263</v>
      </c>
      <c r="D24" s="21" t="s">
        <v>270</v>
      </c>
      <c r="E24" s="21" t="s">
        <v>271</v>
      </c>
    </row>
    <row r="25" customFormat="false" ht="15" hidden="false" customHeight="false" outlineLevel="0" collapsed="false">
      <c r="A25" s="21" t="s">
        <v>90</v>
      </c>
      <c r="B25" s="21" t="s">
        <v>272</v>
      </c>
      <c r="C25" s="21" t="s">
        <v>263</v>
      </c>
      <c r="D25" s="21" t="s">
        <v>273</v>
      </c>
      <c r="E25" s="21" t="s">
        <v>274</v>
      </c>
    </row>
    <row r="26" customFormat="false" ht="15" hidden="false" customHeight="false" outlineLevel="0" collapsed="false">
      <c r="A26" s="21" t="s">
        <v>93</v>
      </c>
      <c r="B26" s="21" t="s">
        <v>275</v>
      </c>
      <c r="C26" s="21" t="s">
        <v>276</v>
      </c>
      <c r="D26" s="21" t="s">
        <v>277</v>
      </c>
      <c r="E26" s="21" t="s">
        <v>278</v>
      </c>
    </row>
    <row r="27" customFormat="false" ht="15" hidden="false" customHeight="false" outlineLevel="0" collapsed="false">
      <c r="A27" s="21" t="s">
        <v>97</v>
      </c>
      <c r="B27" s="21" t="s">
        <v>279</v>
      </c>
      <c r="C27" s="21" t="s">
        <v>280</v>
      </c>
      <c r="D27" s="21" t="s">
        <v>281</v>
      </c>
      <c r="E27" s="21" t="s">
        <v>282</v>
      </c>
    </row>
    <row r="28" customFormat="false" ht="15" hidden="false" customHeight="false" outlineLevel="0" collapsed="false">
      <c r="A28" s="21" t="s">
        <v>100</v>
      </c>
      <c r="B28" s="21" t="s">
        <v>283</v>
      </c>
      <c r="C28" s="21" t="s">
        <v>284</v>
      </c>
      <c r="D28" s="21" t="s">
        <v>285</v>
      </c>
      <c r="E28" s="21" t="s">
        <v>286</v>
      </c>
    </row>
    <row r="29" customFormat="false" ht="15" hidden="false" customHeight="false" outlineLevel="0" collapsed="false">
      <c r="A29" s="21" t="s">
        <v>103</v>
      </c>
      <c r="B29" s="21" t="s">
        <v>287</v>
      </c>
      <c r="C29" s="21" t="s">
        <v>280</v>
      </c>
      <c r="D29" s="21" t="s">
        <v>288</v>
      </c>
      <c r="E29" s="21" t="s">
        <v>289</v>
      </c>
    </row>
    <row r="30" customFormat="false" ht="15" hidden="false" customHeight="false" outlineLevel="0" collapsed="false">
      <c r="A30" s="21" t="s">
        <v>105</v>
      </c>
      <c r="B30" s="21" t="s">
        <v>290</v>
      </c>
      <c r="C30" s="21" t="s">
        <v>276</v>
      </c>
      <c r="D30" s="21" t="s">
        <v>291</v>
      </c>
      <c r="E30" s="21" t="s">
        <v>292</v>
      </c>
    </row>
    <row r="31" customFormat="false" ht="15" hidden="false" customHeight="false" outlineLevel="0" collapsed="false">
      <c r="A31" s="21" t="s">
        <v>107</v>
      </c>
      <c r="B31" s="21" t="s">
        <v>293</v>
      </c>
      <c r="C31" s="21" t="s">
        <v>280</v>
      </c>
      <c r="D31" s="21" t="s">
        <v>294</v>
      </c>
      <c r="E31" s="21" t="s">
        <v>295</v>
      </c>
    </row>
    <row r="32" customFormat="false" ht="15" hidden="false" customHeight="false" outlineLevel="0" collapsed="false">
      <c r="A32" s="21" t="s">
        <v>109</v>
      </c>
      <c r="B32" s="21" t="s">
        <v>296</v>
      </c>
      <c r="C32" s="21" t="s">
        <v>280</v>
      </c>
      <c r="D32" s="21" t="s">
        <v>297</v>
      </c>
      <c r="E32" s="21" t="s">
        <v>298</v>
      </c>
    </row>
    <row r="33" customFormat="false" ht="15" hidden="false" customHeight="false" outlineLevel="0" collapsed="false">
      <c r="A33" s="21" t="s">
        <v>111</v>
      </c>
      <c r="B33" s="21" t="s">
        <v>299</v>
      </c>
      <c r="C33" s="21" t="s">
        <v>280</v>
      </c>
      <c r="D33" s="21" t="s">
        <v>300</v>
      </c>
      <c r="E33" s="21" t="s">
        <v>301</v>
      </c>
    </row>
    <row r="34" customFormat="false" ht="15" hidden="false" customHeight="false" outlineLevel="0" collapsed="false">
      <c r="A34" s="21" t="s">
        <v>113</v>
      </c>
      <c r="B34" s="21" t="s">
        <v>302</v>
      </c>
      <c r="C34" s="21" t="s">
        <v>276</v>
      </c>
      <c r="D34" s="21" t="s">
        <v>303</v>
      </c>
      <c r="E34" s="21" t="s">
        <v>304</v>
      </c>
    </row>
    <row r="35" customFormat="false" ht="15" hidden="false" customHeight="false" outlineLevel="0" collapsed="false">
      <c r="A35" s="21" t="s">
        <v>115</v>
      </c>
      <c r="B35" s="21" t="s">
        <v>305</v>
      </c>
      <c r="C35" s="21" t="s">
        <v>276</v>
      </c>
      <c r="D35" s="21" t="s">
        <v>306</v>
      </c>
      <c r="E35" s="21" t="s">
        <v>307</v>
      </c>
    </row>
    <row r="36" customFormat="false" ht="15" hidden="false" customHeight="false" outlineLevel="0" collapsed="false">
      <c r="A36" s="21" t="s">
        <v>117</v>
      </c>
      <c r="B36" s="21" t="s">
        <v>308</v>
      </c>
      <c r="C36" s="21" t="s">
        <v>280</v>
      </c>
      <c r="D36" s="21" t="s">
        <v>309</v>
      </c>
      <c r="E36" s="21" t="s">
        <v>310</v>
      </c>
    </row>
    <row r="37" customFormat="false" ht="15" hidden="false" customHeight="false" outlineLevel="0" collapsed="false">
      <c r="A37" s="21" t="s">
        <v>120</v>
      </c>
      <c r="B37" s="21" t="s">
        <v>311</v>
      </c>
      <c r="C37" s="21" t="s">
        <v>276</v>
      </c>
      <c r="D37" s="21" t="s">
        <v>312</v>
      </c>
      <c r="E37" s="21" t="s">
        <v>313</v>
      </c>
    </row>
    <row r="38" customFormat="false" ht="15" hidden="false" customHeight="false" outlineLevel="0" collapsed="false">
      <c r="A38" s="21" t="s">
        <v>122</v>
      </c>
      <c r="B38" s="21" t="s">
        <v>314</v>
      </c>
      <c r="C38" s="21" t="s">
        <v>284</v>
      </c>
      <c r="D38" s="21" t="s">
        <v>315</v>
      </c>
      <c r="E38" s="21" t="s">
        <v>316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8" t="s">
        <v>317</v>
      </c>
      <c r="B1" s="18"/>
    </row>
    <row r="2" customFormat="false" ht="15" hidden="false" customHeight="false" outlineLevel="0" collapsed="false">
      <c r="A2" s="2" t="s">
        <v>318</v>
      </c>
      <c r="B2" s="2" t="s">
        <v>319</v>
      </c>
    </row>
    <row r="3" customFormat="false" ht="15" hidden="false" customHeight="false" outlineLevel="0" collapsed="false">
      <c r="A3" s="21" t="s">
        <v>320</v>
      </c>
      <c r="B3" s="21" t="s">
        <v>321</v>
      </c>
    </row>
    <row r="4" customFormat="false" ht="15" hidden="false" customHeight="false" outlineLevel="0" collapsed="false">
      <c r="A4" s="21" t="s">
        <v>322</v>
      </c>
      <c r="B4" s="21" t="s">
        <v>323</v>
      </c>
    </row>
    <row r="5" customFormat="false" ht="15" hidden="false" customHeight="false" outlineLevel="0" collapsed="false">
      <c r="A5" s="21" t="s">
        <v>263</v>
      </c>
      <c r="B5" s="21" t="s">
        <v>324</v>
      </c>
    </row>
    <row r="6" customFormat="false" ht="15" hidden="false" customHeight="false" outlineLevel="0" collapsed="false">
      <c r="A6" s="21" t="s">
        <v>280</v>
      </c>
      <c r="B6" s="21" t="s">
        <v>325</v>
      </c>
    </row>
    <row r="7" customFormat="false" ht="15" hidden="false" customHeight="false" outlineLevel="0" collapsed="false">
      <c r="A7" s="21" t="s">
        <v>276</v>
      </c>
      <c r="B7" s="21" t="s">
        <v>326</v>
      </c>
    </row>
    <row r="8" customFormat="false" ht="15" hidden="false" customHeight="false" outlineLevel="0" collapsed="false">
      <c r="A8" s="21" t="s">
        <v>284</v>
      </c>
      <c r="B8" s="21" t="s">
        <v>327</v>
      </c>
    </row>
    <row r="9" customFormat="false" ht="15" hidden="false" customHeight="false" outlineLevel="0" collapsed="false">
      <c r="A9" s="21" t="s">
        <v>206</v>
      </c>
      <c r="B9" s="21" t="s">
        <v>328</v>
      </c>
    </row>
    <row r="10" customFormat="false" ht="15" hidden="false" customHeight="false" outlineLevel="0" collapsed="false">
      <c r="A10" s="21" t="s">
        <v>234</v>
      </c>
      <c r="B10" s="21" t="s">
        <v>329</v>
      </c>
    </row>
    <row r="11" customFormat="false" ht="15" hidden="false" customHeight="false" outlineLevel="0" collapsed="false">
      <c r="A11" s="21" t="s">
        <v>256</v>
      </c>
      <c r="B11" s="21" t="s">
        <v>330</v>
      </c>
    </row>
    <row r="12" customFormat="false" ht="15" hidden="false" customHeight="false" outlineLevel="0" collapsed="false">
      <c r="A12" s="21" t="s">
        <v>331</v>
      </c>
      <c r="B12" s="21" t="s">
        <v>332</v>
      </c>
    </row>
    <row r="13" customFormat="false" ht="15" hidden="false" customHeight="false" outlineLevel="0" collapsed="false">
      <c r="A13" s="21" t="s">
        <v>333</v>
      </c>
      <c r="B13" s="21" t="s">
        <v>334</v>
      </c>
    </row>
    <row r="14" customFormat="false" ht="15" hidden="false" customHeight="false" outlineLevel="0" collapsed="false">
      <c r="A14" s="21" t="s">
        <v>335</v>
      </c>
      <c r="B14" s="21" t="s">
        <v>336</v>
      </c>
    </row>
    <row r="15" customFormat="false" ht="15" hidden="false" customHeight="false" outlineLevel="0" collapsed="false">
      <c r="A15" s="21" t="s">
        <v>337</v>
      </c>
      <c r="B15" s="21" t="s">
        <v>338</v>
      </c>
    </row>
    <row r="16" customFormat="false" ht="15" hidden="false" customHeight="false" outlineLevel="0" collapsed="false">
      <c r="A16" s="21" t="s">
        <v>339</v>
      </c>
      <c r="B16" s="21" t="s">
        <v>340</v>
      </c>
    </row>
    <row r="17" customFormat="false" ht="15" hidden="false" customHeight="false" outlineLevel="0" collapsed="false">
      <c r="A17" s="21" t="s">
        <v>341</v>
      </c>
      <c r="B17" s="21" t="s">
        <v>342</v>
      </c>
    </row>
    <row r="18" customFormat="false" ht="15" hidden="false" customHeight="false" outlineLevel="0" collapsed="false">
      <c r="A18" s="21" t="s">
        <v>343</v>
      </c>
      <c r="B18" s="21" t="s">
        <v>344</v>
      </c>
    </row>
    <row r="19" customFormat="false" ht="15" hidden="false" customHeight="false" outlineLevel="0" collapsed="false">
      <c r="A19" s="21" t="s">
        <v>345</v>
      </c>
      <c r="B19" s="21" t="s">
        <v>346</v>
      </c>
    </row>
    <row r="20" customFormat="false" ht="26.85" hidden="false" customHeight="false" outlineLevel="0" collapsed="false">
      <c r="A20" s="21" t="s">
        <v>347</v>
      </c>
      <c r="B20" s="21" t="s">
        <v>348</v>
      </c>
    </row>
    <row r="21" customFormat="false" ht="26.85" hidden="false" customHeight="false" outlineLevel="0" collapsed="false">
      <c r="A21" s="21" t="s">
        <v>349</v>
      </c>
      <c r="B21" s="21" t="s">
        <v>350</v>
      </c>
    </row>
    <row r="22" customFormat="false" ht="15" hidden="false" customHeight="false" outlineLevel="0" collapsed="false">
      <c r="A22" s="21" t="s">
        <v>351</v>
      </c>
      <c r="B22" s="21" t="s">
        <v>352</v>
      </c>
    </row>
    <row r="23" customFormat="false" ht="15" hidden="false" customHeight="false" outlineLevel="0" collapsed="false">
      <c r="A23" s="21" t="s">
        <v>353</v>
      </c>
      <c r="B23" s="21" t="s">
        <v>354</v>
      </c>
    </row>
    <row r="24" customFormat="false" ht="15" hidden="false" customHeight="false" outlineLevel="0" collapsed="false">
      <c r="A24" s="21" t="s">
        <v>355</v>
      </c>
      <c r="B24" s="21" t="s">
        <v>356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2026-04-18T05:47:13Z</dcterms:created>
  <dc:creator>openpyxl</dc:creator>
  <dc:description/>
  <dc:language>en-US</dc:language>
  <cp:lastModifiedBy/>
  <dcterms:modified xsi:type="dcterms:W3CDTF">2026-04-18T05:47:13Z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